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HR_Employees" sheetId="2" state="visible" r:id="rId4"/>
    <sheet name="SoD_Conflict_Matrix" sheetId="3" state="visible" r:id="rId5"/>
    <sheet name="Access_Grants" sheetId="4" state="visible" r:id="rId6"/>
    <sheet name="Recertifications" sheetId="5" state="visible" r:id="rId7"/>
    <sheet name="Audit_Testing" sheetId="6" state="visible" r:id="rId8"/>
    <sheet name="Dashboard" sheetId="7" state="visible" r:id="rId9"/>
    <sheet name="Findings_Memo"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<sst xmlns="http://schemas.openxmlformats.org/spreadsheetml/2006/main" count="3423" uniqueCount="777">
  <si>
    <t xml:space="preserve">IT General Controls (ITGC) &amp; User Access Compliance Audit</t>
  </si>
  <si>
    <t xml:space="preserve">A self-contained Excel audit workbook demonstrating access-provisioning, deprovisioning, segregation-of-duties, and recertification testing.</t>
  </si>
  <si>
    <t xml:space="preserve">Purpose</t>
  </si>
  <si>
    <t xml:space="preserve">Simulates a mid-size company's IT access environment (5 business systems, 14 roles, 50 employees, 174 access grants, 118 recertification records) with deliberately embedded ITGC control failures. Every formula in the workbook re-performs a specific audit test an IT/ITGC auditor runs during a SOX or ISO 27001 access review.</t>
  </si>
  <si>
    <t xml:space="preserve">Control Objectives Tested</t>
  </si>
  <si>
    <t xml:space="preserve">1) Timely deprovisioning of terminated users (Access_Termination reconciliation)  2) Segregation of Duties (SoD) — no single identity holds two conflicting roles  3) Access provisioned only with documented approval  4) Periodic access recertification completed on schedule, especially for privileged/admin access</t>
  </si>
  <si>
    <t xml:space="preserve">How the workbook is wired</t>
  </si>
  <si>
    <t xml:space="preserve">HR_Employees, Access_Grants, SoD_Conflict_Matrix and Recertifications are the SOURCE DATA (raw logs, as you would export from HRIS / IAM tooling). Audit_Testing is the AUDIT ENGINE — one row per access grant, entirely formula-driven, that reconciles across the source sheets and raises an exception with a root-cause category. Dashboard aggregates Audit_Testing and Recertifications into exception-rate summaries by Department / System / Reviewer, ready to also drive a native Excel PivotTable (Insert &gt; PivotTable &gt; source = the 'AuditTesting' table) since the underlying range is a proper Excel Table.</t>
  </si>
  <si>
    <t xml:space="preserve">Why no VBA / macros / ML</t>
  </si>
  <si>
    <t xml:space="preserve">Every flag is a native, auditable Excel formula (INDEX/MATCH, COUNTIFS, nested IF/AND/OR, IFERROR). No macros, no black-box scoring — every number in this workbook can be traced back to a cell you can open and explain line by line, which is exactly what a reviewer or interview panel will ask you to do.</t>
  </si>
  <si>
    <t xml:space="preserve">Data disclaimer</t>
  </si>
  <si>
    <t xml:space="preserve">All employee names, dates and IDs are synthetically generated (Python, seed=42) for demonstration purposes only. 'Today' for aging/recency calculations is fixed conceptually at 2026-09-18 (TODAY() is used live in formulas, so aging figures will continue to update as you open the file after that date).</t>
  </si>
  <si>
    <t xml:space="preserve">Workbook map</t>
  </si>
  <si>
    <t xml:space="preserve">README</t>
  </si>
  <si>
    <t xml:space="preserve">This page.</t>
  </si>
  <si>
    <t xml:space="preserve">HR_Employees</t>
  </si>
  <si>
    <t xml:space="preserve">HR master data — hire/termination dates (source of truth for deprovisioning testing).</t>
  </si>
  <si>
    <t xml:space="preserve">SoD_Conflict_Matrix</t>
  </si>
  <si>
    <t xml:space="preserve">The 6 role-pair conflict rules tested (a real company's SoD ruleset would run to hundreds of rows; this is a representative subset).</t>
  </si>
  <si>
    <t xml:space="preserve">Access_Grants</t>
  </si>
  <si>
    <t xml:space="preserve">Raw IAM access-provisioning log — every grant of a role to a user, its approver, and its current status.</t>
  </si>
  <si>
    <t xml:space="preserve">Recertifications</t>
  </si>
  <si>
    <t xml:space="preserve">Periodic access review log — due dates, reviewers, completion dates and outcomes.</t>
  </si>
  <si>
    <t xml:space="preserve">Audit_Testing</t>
  </si>
  <si>
    <t xml:space="preserve">THE AUDIT ENGINE. One row per access grant with 4 independent formula-driven tests + an overall exception verdict and root-cause category.</t>
  </si>
  <si>
    <t xml:space="preserve">Dashboard</t>
  </si>
  <si>
    <t xml:space="preserve">Exception-rate summaries by Department, System and Reviewer, plus root-cause mix. Conditional formatting highlights hot spots.</t>
  </si>
  <si>
    <t xml:space="preserve">Findings_Memo</t>
  </si>
  <si>
    <t xml:space="preserve">Written audit findings memo: condition / criteria / cause / effect / recommendation for each control gap, addressed to the Audit Committee.</t>
  </si>
  <si>
    <t xml:space="preserve">EmployeeID</t>
  </si>
  <si>
    <t xml:space="preserve">Name</t>
  </si>
  <si>
    <t xml:space="preserve">Department</t>
  </si>
  <si>
    <t xml:space="preserve">JobTitle</t>
  </si>
  <si>
    <t xml:space="preserve">HireDate</t>
  </si>
  <si>
    <t xml:space="preserve">TerminationDate</t>
  </si>
  <si>
    <t xml:space="preserve">Manager</t>
  </si>
  <si>
    <t xml:space="preserve">EmploymentStatus</t>
  </si>
  <si>
    <t xml:space="preserve">E001</t>
  </si>
  <si>
    <t xml:space="preserve">Sophia Chen</t>
  </si>
  <si>
    <t xml:space="preserve">IT Operations</t>
  </si>
  <si>
    <t xml:space="preserve">Clerk</t>
  </si>
  <si>
    <t xml:space="preserve">MGR-02</t>
  </si>
  <si>
    <t xml:space="preserve">E002</t>
  </si>
  <si>
    <t xml:space="preserve">Peter Okafor</t>
  </si>
  <si>
    <t xml:space="preserve">HR</t>
  </si>
  <si>
    <t xml:space="preserve">MGR-04</t>
  </si>
  <si>
    <t xml:space="preserve">E003</t>
  </si>
  <si>
    <t xml:space="preserve">Youssef Chen</t>
  </si>
  <si>
    <t xml:space="preserve">Procurement</t>
  </si>
  <si>
    <t xml:space="preserve">Specialist</t>
  </si>
  <si>
    <t xml:space="preserve">MGR-09</t>
  </si>
  <si>
    <t xml:space="preserve">E004</t>
  </si>
  <si>
    <t xml:space="preserve">Omar Khan</t>
  </si>
  <si>
    <t xml:space="preserve">MGR-03</t>
  </si>
  <si>
    <t xml:space="preserve">E005</t>
  </si>
  <si>
    <t xml:space="preserve">Olivia Andersson</t>
  </si>
  <si>
    <t xml:space="preserve">Analyst</t>
  </si>
  <si>
    <t xml:space="preserve">MGR-06</t>
  </si>
  <si>
    <t xml:space="preserve">E006</t>
  </si>
  <si>
    <t xml:space="preserve">Fatima Santos</t>
  </si>
  <si>
    <t xml:space="preserve">Accounts Payable</t>
  </si>
  <si>
    <t xml:space="preserve">Associate</t>
  </si>
  <si>
    <t xml:space="preserve">MGR-10</t>
  </si>
  <si>
    <t xml:space="preserve">E007</t>
  </si>
  <si>
    <t xml:space="preserve">Wei Petrov</t>
  </si>
  <si>
    <t xml:space="preserve">Customer Service</t>
  </si>
  <si>
    <t xml:space="preserve">E008</t>
  </si>
  <si>
    <t xml:space="preserve">Diego Ferreira</t>
  </si>
  <si>
    <t xml:space="preserve">Treasury</t>
  </si>
  <si>
    <t xml:space="preserve">MGR-01</t>
  </si>
  <si>
    <t xml:space="preserve">E009</t>
  </si>
  <si>
    <t xml:space="preserve">Omar Diallo</t>
  </si>
  <si>
    <t xml:space="preserve">E010</t>
  </si>
  <si>
    <t xml:space="preserve">Ingrid Khan</t>
  </si>
  <si>
    <t xml:space="preserve">E011</t>
  </si>
  <si>
    <t xml:space="preserve">Ingrid Reyes</t>
  </si>
  <si>
    <t xml:space="preserve">Senior Analyst</t>
  </si>
  <si>
    <t xml:space="preserve">E012</t>
  </si>
  <si>
    <t xml:space="preserve">Zara Santos</t>
  </si>
  <si>
    <t xml:space="preserve">E013</t>
  </si>
  <si>
    <t xml:space="preserve">Omar Ferreira</t>
  </si>
  <si>
    <t xml:space="preserve">Finance</t>
  </si>
  <si>
    <t xml:space="preserve">E014</t>
  </si>
  <si>
    <t xml:space="preserve">Raj Osei</t>
  </si>
  <si>
    <t xml:space="preserve">MGR-07</t>
  </si>
  <si>
    <t xml:space="preserve">E015</t>
  </si>
  <si>
    <t xml:space="preserve">Zara Silva</t>
  </si>
  <si>
    <t xml:space="preserve">E016</t>
  </si>
  <si>
    <t xml:space="preserve">Tariq Petrov</t>
  </si>
  <si>
    <t xml:space="preserve">E017</t>
  </si>
  <si>
    <t xml:space="preserve">Isabel Okafor</t>
  </si>
  <si>
    <t xml:space="preserve">E018</t>
  </si>
  <si>
    <t xml:space="preserve">Carlos Santos</t>
  </si>
  <si>
    <t xml:space="preserve">E019</t>
  </si>
  <si>
    <t xml:space="preserve">Sophia Abara</t>
  </si>
  <si>
    <t xml:space="preserve">E020</t>
  </si>
  <si>
    <t xml:space="preserve">Diego Ivanov</t>
  </si>
  <si>
    <t xml:space="preserve">Payroll</t>
  </si>
  <si>
    <t xml:space="preserve">E021</t>
  </si>
  <si>
    <t xml:space="preserve">Kofi Braga</t>
  </si>
  <si>
    <t xml:space="preserve">E022</t>
  </si>
  <si>
    <t xml:space="preserve">Rahul Silva</t>
  </si>
  <si>
    <t xml:space="preserve">E023</t>
  </si>
  <si>
    <t xml:space="preserve">Youssef Andersson</t>
  </si>
  <si>
    <t xml:space="preserve">MGR-05</t>
  </si>
  <si>
    <t xml:space="preserve">E024</t>
  </si>
  <si>
    <t xml:space="preserve">Priya Rossi</t>
  </si>
  <si>
    <t xml:space="preserve">E025</t>
  </si>
  <si>
    <t xml:space="preserve">Kenji Silva</t>
  </si>
  <si>
    <t xml:space="preserve">E026</t>
  </si>
  <si>
    <t xml:space="preserve">Grace Braga</t>
  </si>
  <si>
    <t xml:space="preserve">E027</t>
  </si>
  <si>
    <t xml:space="preserve">Laura Khan</t>
  </si>
  <si>
    <t xml:space="preserve">E028</t>
  </si>
  <si>
    <t xml:space="preserve">Maria Haruki</t>
  </si>
  <si>
    <t xml:space="preserve">E029</t>
  </si>
  <si>
    <t xml:space="preserve">Carlos Osei</t>
  </si>
  <si>
    <t xml:space="preserve">E030</t>
  </si>
  <si>
    <t xml:space="preserve">Isabel Nakamura</t>
  </si>
  <si>
    <t xml:space="preserve">E031</t>
  </si>
  <si>
    <t xml:space="preserve">Adam Rossi</t>
  </si>
  <si>
    <t xml:space="preserve">E032</t>
  </si>
  <si>
    <t xml:space="preserve">Olivia Kim</t>
  </si>
  <si>
    <t xml:space="preserve">E033</t>
  </si>
  <si>
    <t xml:space="preserve">Liam Garcia</t>
  </si>
  <si>
    <t xml:space="preserve">E034</t>
  </si>
  <si>
    <t xml:space="preserve">Rahul Nakamura</t>
  </si>
  <si>
    <t xml:space="preserve">E035</t>
  </si>
  <si>
    <t xml:space="preserve">Chloe Kowalski</t>
  </si>
  <si>
    <t xml:space="preserve">E036</t>
  </si>
  <si>
    <t xml:space="preserve">Priya Schmidt</t>
  </si>
  <si>
    <t xml:space="preserve">E037</t>
  </si>
  <si>
    <t xml:space="preserve">Sanjay Dubois</t>
  </si>
  <si>
    <t xml:space="preserve">E038</t>
  </si>
  <si>
    <t xml:space="preserve">Victor Chen</t>
  </si>
  <si>
    <t xml:space="preserve">MGR-08</t>
  </si>
  <si>
    <t xml:space="preserve">E039</t>
  </si>
  <si>
    <t xml:space="preserve">Olivia Reyes</t>
  </si>
  <si>
    <t xml:space="preserve">E040</t>
  </si>
  <si>
    <t xml:space="preserve">Emma Petrov</t>
  </si>
  <si>
    <t xml:space="preserve">E041</t>
  </si>
  <si>
    <t xml:space="preserve">Emma Dubois</t>
  </si>
  <si>
    <t xml:space="preserve">E042</t>
  </si>
  <si>
    <t xml:space="preserve">Carlos Lopez</t>
  </si>
  <si>
    <t xml:space="preserve">E043</t>
  </si>
  <si>
    <t xml:space="preserve">Emma Lopez</t>
  </si>
  <si>
    <t xml:space="preserve">E044</t>
  </si>
  <si>
    <t xml:space="preserve">Hana Andersson</t>
  </si>
  <si>
    <t xml:space="preserve">E045</t>
  </si>
  <si>
    <t xml:space="preserve">Tariq Santos</t>
  </si>
  <si>
    <t xml:space="preserve">E046</t>
  </si>
  <si>
    <t xml:space="preserve">Zara Lopez</t>
  </si>
  <si>
    <t xml:space="preserve">E047</t>
  </si>
  <si>
    <t xml:space="preserve">Kenji Braga</t>
  </si>
  <si>
    <t xml:space="preserve">E048</t>
  </si>
  <si>
    <t xml:space="preserve">Noah Khan</t>
  </si>
  <si>
    <t xml:space="preserve">E049</t>
  </si>
  <si>
    <t xml:space="preserve">Ana Novak</t>
  </si>
  <si>
    <t xml:space="preserve">E050</t>
  </si>
  <si>
    <t xml:space="preserve">Ana Silva</t>
  </si>
  <si>
    <t xml:space="preserve">RuleID</t>
  </si>
  <si>
    <t xml:space="preserve">RoleA_ID</t>
  </si>
  <si>
    <t xml:space="preserve">RoleA_Name</t>
  </si>
  <si>
    <t xml:space="preserve">RoleB_ID</t>
  </si>
  <si>
    <t xml:space="preserve">RoleB_Name</t>
  </si>
  <si>
    <t xml:space="preserve">ConflictRationale</t>
  </si>
  <si>
    <t xml:space="preserve">SOD-01</t>
  </si>
  <si>
    <t xml:space="preserve">R01</t>
  </si>
  <si>
    <t xml:space="preserve">AP Invoice Entry</t>
  </si>
  <si>
    <t xml:space="preserve">R02</t>
  </si>
  <si>
    <t xml:space="preserve">AP Payment Approval</t>
  </si>
  <si>
    <t xml:space="preserve">Same user can enter AND approve AP invoices/payments (fictitious vendor payment risk)</t>
  </si>
  <si>
    <t xml:space="preserve">SOD-02</t>
  </si>
  <si>
    <t xml:space="preserve">R03</t>
  </si>
  <si>
    <t xml:space="preserve">Vendor Master Maintenance</t>
  </si>
  <si>
    <t xml:space="preserve">Same user can create/edit vendor master AND approve payments (ghost vendor fraud risk)</t>
  </si>
  <si>
    <t xml:space="preserve">SOD-03</t>
  </si>
  <si>
    <t xml:space="preserve">R04</t>
  </si>
  <si>
    <t xml:space="preserve">GL Journal Posting</t>
  </si>
  <si>
    <t xml:space="preserve">R05</t>
  </si>
  <si>
    <t xml:space="preserve">GL Journal Approval</t>
  </si>
  <si>
    <t xml:space="preserve">Same user can post AND approve GL journal entries (unauthorized/erroneous entries risk)</t>
  </si>
  <si>
    <t xml:space="preserve">SOD-04</t>
  </si>
  <si>
    <t xml:space="preserve">R06</t>
  </si>
  <si>
    <t xml:space="preserve">Payroll Data Entry</t>
  </si>
  <si>
    <t xml:space="preserve">R07</t>
  </si>
  <si>
    <t xml:space="preserve">Payroll Approval / Release</t>
  </si>
  <si>
    <t xml:space="preserve">Same user can enter AND approve/release payroll (ghost employee / inflated pay risk)</t>
  </si>
  <si>
    <t xml:space="preserve">SOD-05</t>
  </si>
  <si>
    <t xml:space="preserve">R11</t>
  </si>
  <si>
    <t xml:space="preserve">Sales Order Entry</t>
  </si>
  <si>
    <t xml:space="preserve">R12</t>
  </si>
  <si>
    <t xml:space="preserve">Sales Credit Memo Approval</t>
  </si>
  <si>
    <t xml:space="preserve">Same user can enter sales orders AND approve credit memos (revenue manipulation risk)</t>
  </si>
  <si>
    <t xml:space="preserve">SOD-06</t>
  </si>
  <si>
    <t xml:space="preserve">R13</t>
  </si>
  <si>
    <t xml:space="preserve">Wire Initiation</t>
  </si>
  <si>
    <t xml:space="preserve">R14</t>
  </si>
  <si>
    <t xml:space="preserve">Wire Approval / Release</t>
  </si>
  <si>
    <t xml:space="preserve">Same user can initiate AND approve/release wire transfers (unauthorized funds transfer risk)</t>
  </si>
  <si>
    <t xml:space="preserve">GrantID</t>
  </si>
  <si>
    <t xml:space="preserve">EmployeeName</t>
  </si>
  <si>
    <t xml:space="preserve">SystemID</t>
  </si>
  <si>
    <t xml:space="preserve">RoleID</t>
  </si>
  <si>
    <t xml:space="preserve">RoleName</t>
  </si>
  <si>
    <t xml:space="preserve">AccessLevel</t>
  </si>
  <si>
    <t xml:space="preserve">GrantDate</t>
  </si>
  <si>
    <t xml:space="preserve">ApprovedBy</t>
  </si>
  <si>
    <t xml:space="preserve">ApprovalDocRef</t>
  </si>
  <si>
    <t xml:space="preserve">Status</t>
  </si>
  <si>
    <t xml:space="preserve">RevokeDate</t>
  </si>
  <si>
    <t xml:space="preserve">AG-0001</t>
  </si>
  <si>
    <t xml:space="preserve">SYS-AD</t>
  </si>
  <si>
    <t xml:space="preserve">R09</t>
  </si>
  <si>
    <t xml:space="preserve">Standard Network User</t>
  </si>
  <si>
    <t xml:space="preserve">Read</t>
  </si>
  <si>
    <t xml:space="preserve">CHG-93136</t>
  </si>
  <si>
    <t xml:space="preserve">Active</t>
  </si>
  <si>
    <t xml:space="preserve">AG-0002</t>
  </si>
  <si>
    <t xml:space="preserve">SYS-HRIS</t>
  </si>
  <si>
    <t xml:space="preserve">R08</t>
  </si>
  <si>
    <t xml:space="preserve">Employee Master Read-Only</t>
  </si>
  <si>
    <t xml:space="preserve">CHG-27146</t>
  </si>
  <si>
    <t xml:space="preserve">AG-0003</t>
  </si>
  <si>
    <t xml:space="preserve">R10</t>
  </si>
  <si>
    <t xml:space="preserve">Domain Administrator</t>
  </si>
  <si>
    <t xml:space="preserve">Admin</t>
  </si>
  <si>
    <t xml:space="preserve">CHG-66057</t>
  </si>
  <si>
    <t xml:space="preserve">AG-0004</t>
  </si>
  <si>
    <t xml:space="preserve">CHG-26704</t>
  </si>
  <si>
    <t xml:space="preserve">Revoked</t>
  </si>
  <si>
    <t xml:space="preserve">AG-0005</t>
  </si>
  <si>
    <t xml:space="preserve">CHG-99399</t>
  </si>
  <si>
    <t xml:space="preserve">AG-0006</t>
  </si>
  <si>
    <t xml:space="preserve">Write</t>
  </si>
  <si>
    <t xml:space="preserve">CHG-91351</t>
  </si>
  <si>
    <t xml:space="preserve">AG-0007</t>
  </si>
  <si>
    <t xml:space="preserve">AG-0008</t>
  </si>
  <si>
    <t xml:space="preserve">CHG-15075</t>
  </si>
  <si>
    <t xml:space="preserve">AG-0009</t>
  </si>
  <si>
    <t xml:space="preserve">SYS-ERP</t>
  </si>
  <si>
    <t xml:space="preserve">CHG-55830</t>
  </si>
  <si>
    <t xml:space="preserve">AG-0010</t>
  </si>
  <si>
    <t xml:space="preserve">CHG-13101</t>
  </si>
  <si>
    <t xml:space="preserve">AG-0011</t>
  </si>
  <si>
    <t xml:space="preserve">System Auto-Provision</t>
  </si>
  <si>
    <t xml:space="preserve">CHG-80282</t>
  </si>
  <si>
    <t xml:space="preserve">AG-0012</t>
  </si>
  <si>
    <t xml:space="preserve">AG-0013</t>
  </si>
  <si>
    <t xml:space="preserve">CHG-89457</t>
  </si>
  <si>
    <t xml:space="preserve">AG-0014</t>
  </si>
  <si>
    <t xml:space="preserve">CHG-80575</t>
  </si>
  <si>
    <t xml:space="preserve">AG-0015</t>
  </si>
  <si>
    <t xml:space="preserve">AG-0016</t>
  </si>
  <si>
    <t xml:space="preserve">CHG-26334</t>
  </si>
  <si>
    <t xml:space="preserve">AG-0017</t>
  </si>
  <si>
    <t xml:space="preserve">CHG-35144</t>
  </si>
  <si>
    <t xml:space="preserve">AG-0018</t>
  </si>
  <si>
    <t xml:space="preserve">CHG-84593</t>
  </si>
  <si>
    <t xml:space="preserve">AG-0019</t>
  </si>
  <si>
    <t xml:space="preserve">CHG-47606</t>
  </si>
  <si>
    <t xml:space="preserve">AG-0020</t>
  </si>
  <si>
    <t xml:space="preserve">CHG-72021</t>
  </si>
  <si>
    <t xml:space="preserve">AG-0021</t>
  </si>
  <si>
    <t xml:space="preserve">SYS-CRM</t>
  </si>
  <si>
    <t xml:space="preserve">CHG-21114</t>
  </si>
  <si>
    <t xml:space="preserve">AG-0022</t>
  </si>
  <si>
    <t xml:space="preserve">CHG-40784</t>
  </si>
  <si>
    <t xml:space="preserve">AG-0023</t>
  </si>
  <si>
    <t xml:space="preserve">SYS-BANK</t>
  </si>
  <si>
    <t xml:space="preserve">CHG-69692</t>
  </si>
  <si>
    <t xml:space="preserve">AG-0024</t>
  </si>
  <si>
    <t xml:space="preserve">CHG-74799</t>
  </si>
  <si>
    <t xml:space="preserve">AG-0025</t>
  </si>
  <si>
    <t xml:space="preserve">CHG-23970</t>
  </si>
  <si>
    <t xml:space="preserve">AG-0026</t>
  </si>
  <si>
    <t xml:space="preserve">CHG-70889</t>
  </si>
  <si>
    <t xml:space="preserve">AG-0027</t>
  </si>
  <si>
    <t xml:space="preserve">CHG-76162</t>
  </si>
  <si>
    <t xml:space="preserve">AG-0028</t>
  </si>
  <si>
    <t xml:space="preserve">CHG-72216</t>
  </si>
  <si>
    <t xml:space="preserve">AG-0029</t>
  </si>
  <si>
    <t xml:space="preserve">CHG-78327</t>
  </si>
  <si>
    <t xml:space="preserve">AG-0030</t>
  </si>
  <si>
    <t xml:space="preserve">CHG-80798</t>
  </si>
  <si>
    <t xml:space="preserve">AG-0031</t>
  </si>
  <si>
    <t xml:space="preserve">CHG-18418</t>
  </si>
  <si>
    <t xml:space="preserve">AG-0032</t>
  </si>
  <si>
    <t xml:space="preserve">CHG-18161</t>
  </si>
  <si>
    <t xml:space="preserve">AG-0033</t>
  </si>
  <si>
    <t xml:space="preserve">CHG-64921</t>
  </si>
  <si>
    <t xml:space="preserve">AG-0034</t>
  </si>
  <si>
    <t xml:space="preserve">CHG-73993</t>
  </si>
  <si>
    <t xml:space="preserve">AG-0035</t>
  </si>
  <si>
    <t xml:space="preserve">CHG-54057</t>
  </si>
  <si>
    <t xml:space="preserve">AG-0036</t>
  </si>
  <si>
    <t xml:space="preserve">CHG-26728</t>
  </si>
  <si>
    <t xml:space="preserve">AG-0037</t>
  </si>
  <si>
    <t xml:space="preserve">CHG-33819</t>
  </si>
  <si>
    <t xml:space="preserve">AG-0038</t>
  </si>
  <si>
    <t xml:space="preserve">CHG-59692</t>
  </si>
  <si>
    <t xml:space="preserve">AG-0039</t>
  </si>
  <si>
    <t xml:space="preserve">CHG-20735</t>
  </si>
  <si>
    <t xml:space="preserve">AG-0040</t>
  </si>
  <si>
    <t xml:space="preserve">CHG-42411</t>
  </si>
  <si>
    <t xml:space="preserve">AG-0041</t>
  </si>
  <si>
    <t xml:space="preserve">CHG-72070</t>
  </si>
  <si>
    <t xml:space="preserve">AG-0042</t>
  </si>
  <si>
    <t xml:space="preserve">CHG-89415</t>
  </si>
  <si>
    <t xml:space="preserve">AG-0043</t>
  </si>
  <si>
    <t xml:space="preserve">CHG-50768</t>
  </si>
  <si>
    <t xml:space="preserve">AG-0044</t>
  </si>
  <si>
    <t xml:space="preserve">CHG-49529</t>
  </si>
  <si>
    <t xml:space="preserve">AG-0045</t>
  </si>
  <si>
    <t xml:space="preserve">CHG-15383</t>
  </si>
  <si>
    <t xml:space="preserve">AG-0046</t>
  </si>
  <si>
    <t xml:space="preserve">CHG-76317</t>
  </si>
  <si>
    <t xml:space="preserve">AG-0047</t>
  </si>
  <si>
    <t xml:space="preserve">CHG-66822</t>
  </si>
  <si>
    <t xml:space="preserve">AG-0048</t>
  </si>
  <si>
    <t xml:space="preserve">CHG-67080</t>
  </si>
  <si>
    <t xml:space="preserve">AG-0049</t>
  </si>
  <si>
    <t xml:space="preserve">CHG-42177</t>
  </si>
  <si>
    <t xml:space="preserve">AG-0050</t>
  </si>
  <si>
    <t xml:space="preserve">CHG-70910</t>
  </si>
  <si>
    <t xml:space="preserve">AG-0051</t>
  </si>
  <si>
    <t xml:space="preserve">CHG-74789</t>
  </si>
  <si>
    <t xml:space="preserve">AG-0052</t>
  </si>
  <si>
    <t xml:space="preserve">CHG-43862</t>
  </si>
  <si>
    <t xml:space="preserve">AG-0053</t>
  </si>
  <si>
    <t xml:space="preserve">CHG-82768</t>
  </si>
  <si>
    <t xml:space="preserve">AG-0054</t>
  </si>
  <si>
    <t xml:space="preserve">CHG-68743</t>
  </si>
  <si>
    <t xml:space="preserve">AG-0055</t>
  </si>
  <si>
    <t xml:space="preserve">CHG-41890</t>
  </si>
  <si>
    <t xml:space="preserve">AG-0056</t>
  </si>
  <si>
    <t xml:space="preserve">CHG-55056</t>
  </si>
  <si>
    <t xml:space="preserve">AG-0057</t>
  </si>
  <si>
    <t xml:space="preserve">CHG-45509</t>
  </si>
  <si>
    <t xml:space="preserve">AG-0058</t>
  </si>
  <si>
    <t xml:space="preserve">AG-0059</t>
  </si>
  <si>
    <t xml:space="preserve">CHG-78765</t>
  </si>
  <si>
    <t xml:space="preserve">AG-0060</t>
  </si>
  <si>
    <t xml:space="preserve">CHG-48829</t>
  </si>
  <si>
    <t xml:space="preserve">AG-0061</t>
  </si>
  <si>
    <t xml:space="preserve">CHG-93606</t>
  </si>
  <si>
    <t xml:space="preserve">AG-0062</t>
  </si>
  <si>
    <t xml:space="preserve">CHG-47268</t>
  </si>
  <si>
    <t xml:space="preserve">AG-0063</t>
  </si>
  <si>
    <t xml:space="preserve">CHG-43092</t>
  </si>
  <si>
    <t xml:space="preserve">AG-0064</t>
  </si>
  <si>
    <t xml:space="preserve">AG-0065</t>
  </si>
  <si>
    <t xml:space="preserve">CHG-88135</t>
  </si>
  <si>
    <t xml:space="preserve">AG-0066</t>
  </si>
  <si>
    <t xml:space="preserve">CHG-69049</t>
  </si>
  <si>
    <t xml:space="preserve">AG-0067</t>
  </si>
  <si>
    <t xml:space="preserve">CHG-50026</t>
  </si>
  <si>
    <t xml:space="preserve">AG-0068</t>
  </si>
  <si>
    <t xml:space="preserve">CHG-37235</t>
  </si>
  <si>
    <t xml:space="preserve">AG-0069</t>
  </si>
  <si>
    <t xml:space="preserve">CHG-63545</t>
  </si>
  <si>
    <t xml:space="preserve">AG-0070</t>
  </si>
  <si>
    <t xml:space="preserve">CHG-40340</t>
  </si>
  <si>
    <t xml:space="preserve">AG-0071</t>
  </si>
  <si>
    <t xml:space="preserve">CHG-40595</t>
  </si>
  <si>
    <t xml:space="preserve">AG-0072</t>
  </si>
  <si>
    <t xml:space="preserve">AG-0073</t>
  </si>
  <si>
    <t xml:space="preserve">CHG-67560</t>
  </si>
  <si>
    <t xml:space="preserve">AG-0074</t>
  </si>
  <si>
    <t xml:space="preserve">CHG-75597</t>
  </si>
  <si>
    <t xml:space="preserve">AG-0075</t>
  </si>
  <si>
    <t xml:space="preserve">CHG-66626</t>
  </si>
  <si>
    <t xml:space="preserve">AG-0076</t>
  </si>
  <si>
    <t xml:space="preserve">CHG-86955</t>
  </si>
  <si>
    <t xml:space="preserve">AG-0077</t>
  </si>
  <si>
    <t xml:space="preserve">AG-0078</t>
  </si>
  <si>
    <t xml:space="preserve">CHG-71605</t>
  </si>
  <si>
    <t xml:space="preserve">AG-0079</t>
  </si>
  <si>
    <t xml:space="preserve">CHG-31079</t>
  </si>
  <si>
    <t xml:space="preserve">AG-0080</t>
  </si>
  <si>
    <t xml:space="preserve">CHG-62488</t>
  </si>
  <si>
    <t xml:space="preserve">AG-0081</t>
  </si>
  <si>
    <t xml:space="preserve">CHG-10150</t>
  </si>
  <si>
    <t xml:space="preserve">AG-0082</t>
  </si>
  <si>
    <t xml:space="preserve">CHG-77952</t>
  </si>
  <si>
    <t xml:space="preserve">AG-0083</t>
  </si>
  <si>
    <t xml:space="preserve">CHG-36680</t>
  </si>
  <si>
    <t xml:space="preserve">AG-0084</t>
  </si>
  <si>
    <t xml:space="preserve">CHG-30758</t>
  </si>
  <si>
    <t xml:space="preserve">AG-0085</t>
  </si>
  <si>
    <t xml:space="preserve">CHG-24871</t>
  </si>
  <si>
    <t xml:space="preserve">AG-0086</t>
  </si>
  <si>
    <t xml:space="preserve">CHG-75323</t>
  </si>
  <si>
    <t xml:space="preserve">AG-0087</t>
  </si>
  <si>
    <t xml:space="preserve">CHG-64459</t>
  </si>
  <si>
    <t xml:space="preserve">AG-0088</t>
  </si>
  <si>
    <t xml:space="preserve">CHG-82255</t>
  </si>
  <si>
    <t xml:space="preserve">AG-0089</t>
  </si>
  <si>
    <t xml:space="preserve">CHG-45018</t>
  </si>
  <si>
    <t xml:space="preserve">AG-0090</t>
  </si>
  <si>
    <t xml:space="preserve">CHG-86011</t>
  </si>
  <si>
    <t xml:space="preserve">AG-0091</t>
  </si>
  <si>
    <t xml:space="preserve">CHG-73483</t>
  </si>
  <si>
    <t xml:space="preserve">AG-0092</t>
  </si>
  <si>
    <t xml:space="preserve">CHG-52176</t>
  </si>
  <si>
    <t xml:space="preserve">AG-0093</t>
  </si>
  <si>
    <t xml:space="preserve">CHG-60604</t>
  </si>
  <si>
    <t xml:space="preserve">AG-0094</t>
  </si>
  <si>
    <t xml:space="preserve">CHG-74923</t>
  </si>
  <si>
    <t xml:space="preserve">AG-0095</t>
  </si>
  <si>
    <t xml:space="preserve">CHG-23154</t>
  </si>
  <si>
    <t xml:space="preserve">AG-0096</t>
  </si>
  <si>
    <t xml:space="preserve">CHG-12011</t>
  </si>
  <si>
    <t xml:space="preserve">AG-0097</t>
  </si>
  <si>
    <t xml:space="preserve">CHG-20527</t>
  </si>
  <si>
    <t xml:space="preserve">AG-0098</t>
  </si>
  <si>
    <t xml:space="preserve">CHG-92155</t>
  </si>
  <si>
    <t xml:space="preserve">AG-0099</t>
  </si>
  <si>
    <t xml:space="preserve">CHG-18968</t>
  </si>
  <si>
    <t xml:space="preserve">AG-0100</t>
  </si>
  <si>
    <t xml:space="preserve">CHG-66881</t>
  </si>
  <si>
    <t xml:space="preserve">AG-0101</t>
  </si>
  <si>
    <t xml:space="preserve">CHG-52516</t>
  </si>
  <si>
    <t xml:space="preserve">AG-0102</t>
  </si>
  <si>
    <t xml:space="preserve">CHG-29080</t>
  </si>
  <si>
    <t xml:space="preserve">AG-0103</t>
  </si>
  <si>
    <t xml:space="preserve">CHG-86435</t>
  </si>
  <si>
    <t xml:space="preserve">AG-0104</t>
  </si>
  <si>
    <t xml:space="preserve">CHG-43466</t>
  </si>
  <si>
    <t xml:space="preserve">AG-0105</t>
  </si>
  <si>
    <t xml:space="preserve">CHG-98815</t>
  </si>
  <si>
    <t xml:space="preserve">AG-0106</t>
  </si>
  <si>
    <t xml:space="preserve">CHG-49210</t>
  </si>
  <si>
    <t xml:space="preserve">AG-0107</t>
  </si>
  <si>
    <t xml:space="preserve">CHG-49599</t>
  </si>
  <si>
    <t xml:space="preserve">AG-0108</t>
  </si>
  <si>
    <t xml:space="preserve">CHG-12875</t>
  </si>
  <si>
    <t xml:space="preserve">AG-0109</t>
  </si>
  <si>
    <t xml:space="preserve">CHG-84177</t>
  </si>
  <si>
    <t xml:space="preserve">AG-0110</t>
  </si>
  <si>
    <t xml:space="preserve">CHG-75107</t>
  </si>
  <si>
    <t xml:space="preserve">AG-0111</t>
  </si>
  <si>
    <t xml:space="preserve">CHG-98835</t>
  </si>
  <si>
    <t xml:space="preserve">AG-0112</t>
  </si>
  <si>
    <t xml:space="preserve">CHG-22735</t>
  </si>
  <si>
    <t xml:space="preserve">AG-0113</t>
  </si>
  <si>
    <t xml:space="preserve">CHG-52823</t>
  </si>
  <si>
    <t xml:space="preserve">AG-0114</t>
  </si>
  <si>
    <t xml:space="preserve">CHG-57953</t>
  </si>
  <si>
    <t xml:space="preserve">AG-0115</t>
  </si>
  <si>
    <t xml:space="preserve">CHG-48684</t>
  </si>
  <si>
    <t xml:space="preserve">AG-0116</t>
  </si>
  <si>
    <t xml:space="preserve">CHG-98395</t>
  </si>
  <si>
    <t xml:space="preserve">AG-0117</t>
  </si>
  <si>
    <t xml:space="preserve">CHG-57942</t>
  </si>
  <si>
    <t xml:space="preserve">AG-0118</t>
  </si>
  <si>
    <t xml:space="preserve">CHG-58311</t>
  </si>
  <si>
    <t xml:space="preserve">AG-0119</t>
  </si>
  <si>
    <t xml:space="preserve">CHG-91205</t>
  </si>
  <si>
    <t xml:space="preserve">AG-0120</t>
  </si>
  <si>
    <t xml:space="preserve">AG-0121</t>
  </si>
  <si>
    <t xml:space="preserve">CHG-63516</t>
  </si>
  <si>
    <t xml:space="preserve">AG-0122</t>
  </si>
  <si>
    <t xml:space="preserve">CHG-40775</t>
  </si>
  <si>
    <t xml:space="preserve">AG-0123</t>
  </si>
  <si>
    <t xml:space="preserve">CHG-74139</t>
  </si>
  <si>
    <t xml:space="preserve">AG-0124</t>
  </si>
  <si>
    <t xml:space="preserve">CHG-58566</t>
  </si>
  <si>
    <t xml:space="preserve">AG-0125</t>
  </si>
  <si>
    <t xml:space="preserve">CHG-23022</t>
  </si>
  <si>
    <t xml:space="preserve">AG-0126</t>
  </si>
  <si>
    <t xml:space="preserve">CHG-96870</t>
  </si>
  <si>
    <t xml:space="preserve">AG-0127</t>
  </si>
  <si>
    <t xml:space="preserve">CHG-53713</t>
  </si>
  <si>
    <t xml:space="preserve">AG-0128</t>
  </si>
  <si>
    <t xml:space="preserve">CHG-82641</t>
  </si>
  <si>
    <t xml:space="preserve">AG-0129</t>
  </si>
  <si>
    <t xml:space="preserve">CHG-29340</t>
  </si>
  <si>
    <t xml:space="preserve">AG-0130</t>
  </si>
  <si>
    <t xml:space="preserve">CHG-27038</t>
  </si>
  <si>
    <t xml:space="preserve">AG-0131</t>
  </si>
  <si>
    <t xml:space="preserve">CHG-13379</t>
  </si>
  <si>
    <t xml:space="preserve">AG-0132</t>
  </si>
  <si>
    <t xml:space="preserve">CHG-78955</t>
  </si>
  <si>
    <t xml:space="preserve">AG-0133</t>
  </si>
  <si>
    <t xml:space="preserve">CHG-24293</t>
  </si>
  <si>
    <t xml:space="preserve">AG-0134</t>
  </si>
  <si>
    <t xml:space="preserve">CHG-96363</t>
  </si>
  <si>
    <t xml:space="preserve">AG-0135</t>
  </si>
  <si>
    <t xml:space="preserve">CHG-68138</t>
  </si>
  <si>
    <t xml:space="preserve">AG-0136</t>
  </si>
  <si>
    <t xml:space="preserve">CHG-46046</t>
  </si>
  <si>
    <t xml:space="preserve">AG-0137</t>
  </si>
  <si>
    <t xml:space="preserve">CHG-24996</t>
  </si>
  <si>
    <t xml:space="preserve">AG-0138</t>
  </si>
  <si>
    <t xml:space="preserve">CHG-69186</t>
  </si>
  <si>
    <t xml:space="preserve">AG-0139</t>
  </si>
  <si>
    <t xml:space="preserve">CHG-22463</t>
  </si>
  <si>
    <t xml:space="preserve">AG-0140</t>
  </si>
  <si>
    <t xml:space="preserve">CHG-30006</t>
  </si>
  <si>
    <t xml:space="preserve">AG-0141</t>
  </si>
  <si>
    <t xml:space="preserve">AG-0142</t>
  </si>
  <si>
    <t xml:space="preserve">CHG-63845</t>
  </si>
  <si>
    <t xml:space="preserve">AG-0143</t>
  </si>
  <si>
    <t xml:space="preserve">CHG-16743</t>
  </si>
  <si>
    <t xml:space="preserve">AG-0144</t>
  </si>
  <si>
    <t xml:space="preserve">CHG-85748</t>
  </si>
  <si>
    <t xml:space="preserve">AG-0145</t>
  </si>
  <si>
    <t xml:space="preserve">CHG-46512</t>
  </si>
  <si>
    <t xml:space="preserve">AG-0146</t>
  </si>
  <si>
    <t xml:space="preserve">CHG-90422</t>
  </si>
  <si>
    <t xml:space="preserve">AG-0147</t>
  </si>
  <si>
    <t xml:space="preserve">CHG-45054</t>
  </si>
  <si>
    <t xml:space="preserve">AG-0148</t>
  </si>
  <si>
    <t xml:space="preserve">AG-0149</t>
  </si>
  <si>
    <t xml:space="preserve">CHG-38197</t>
  </si>
  <si>
    <t xml:space="preserve">AG-0150</t>
  </si>
  <si>
    <t xml:space="preserve">CHG-50846</t>
  </si>
  <si>
    <t xml:space="preserve">AG-0151</t>
  </si>
  <si>
    <t xml:space="preserve">CHG-20693</t>
  </si>
  <si>
    <t xml:space="preserve">AG-0152</t>
  </si>
  <si>
    <t xml:space="preserve">CHG-67939</t>
  </si>
  <si>
    <t xml:space="preserve">AG-0153</t>
  </si>
  <si>
    <t xml:space="preserve">CHG-55242</t>
  </si>
  <si>
    <t xml:space="preserve">AG-0154</t>
  </si>
  <si>
    <t xml:space="preserve">CHG-79066</t>
  </si>
  <si>
    <t xml:space="preserve">AG-0155</t>
  </si>
  <si>
    <t xml:space="preserve">CHG-47938</t>
  </si>
  <si>
    <t xml:space="preserve">AG-0156</t>
  </si>
  <si>
    <t xml:space="preserve">CHG-59834</t>
  </si>
  <si>
    <t xml:space="preserve">AG-0157</t>
  </si>
  <si>
    <t xml:space="preserve">AG-0158</t>
  </si>
  <si>
    <t xml:space="preserve">CHG-51033</t>
  </si>
  <si>
    <t xml:space="preserve">AG-0159</t>
  </si>
  <si>
    <t xml:space="preserve">CHG-70305</t>
  </si>
  <si>
    <t xml:space="preserve">AG-0160</t>
  </si>
  <si>
    <t xml:space="preserve">CHG-23875</t>
  </si>
  <si>
    <t xml:space="preserve">AG-0161</t>
  </si>
  <si>
    <t xml:space="preserve">CHG-61873</t>
  </si>
  <si>
    <t xml:space="preserve">AG-0162</t>
  </si>
  <si>
    <t xml:space="preserve">AG-0163</t>
  </si>
  <si>
    <t xml:space="preserve">CHG-56019</t>
  </si>
  <si>
    <t xml:space="preserve">AG-0164</t>
  </si>
  <si>
    <t xml:space="preserve">CHG-23474</t>
  </si>
  <si>
    <t xml:space="preserve">AG-0165</t>
  </si>
  <si>
    <t xml:space="preserve">CHG-83889</t>
  </si>
  <si>
    <t xml:space="preserve">AG-0166</t>
  </si>
  <si>
    <t xml:space="preserve">CHG-93269</t>
  </si>
  <si>
    <t xml:space="preserve">AG-0167</t>
  </si>
  <si>
    <t xml:space="preserve">CHG-67640</t>
  </si>
  <si>
    <t xml:space="preserve">AG-0168</t>
  </si>
  <si>
    <t xml:space="preserve">CHG-17362</t>
  </si>
  <si>
    <t xml:space="preserve">AG-0169</t>
  </si>
  <si>
    <t xml:space="preserve">CHG-94497</t>
  </si>
  <si>
    <t xml:space="preserve">AG-0170</t>
  </si>
  <si>
    <t xml:space="preserve">CHG-70648</t>
  </si>
  <si>
    <t xml:space="preserve">AG-0171</t>
  </si>
  <si>
    <t xml:space="preserve">CHG-84928</t>
  </si>
  <si>
    <t xml:space="preserve">AG-0172</t>
  </si>
  <si>
    <t xml:space="preserve">CHG-76132</t>
  </si>
  <si>
    <t xml:space="preserve">AG-0173</t>
  </si>
  <si>
    <t xml:space="preserve">CHG-78517</t>
  </si>
  <si>
    <t xml:space="preserve">AG-0174</t>
  </si>
  <si>
    <t xml:space="preserve">CHG-63578</t>
  </si>
  <si>
    <t xml:space="preserve">RecertID</t>
  </si>
  <si>
    <t xml:space="preserve">ReviewCycleDays</t>
  </si>
  <si>
    <t xml:space="preserve">DueDate</t>
  </si>
  <si>
    <t xml:space="preserve">Reviewer</t>
  </si>
  <si>
    <t xml:space="preserve">CompletedDate</t>
  </si>
  <si>
    <t xml:space="preserve">Result</t>
  </si>
  <si>
    <t xml:space="preserve">Recert_Status</t>
  </si>
  <si>
    <t xml:space="preserve">RC-0001</t>
  </si>
  <si>
    <t xml:space="preserve">Access Confirmed Appropriate</t>
  </si>
  <si>
    <t xml:space="preserve">RC-0002</t>
  </si>
  <si>
    <t xml:space="preserve">RC-0003</t>
  </si>
  <si>
    <t xml:space="preserve">RC-0004</t>
  </si>
  <si>
    <t xml:space="preserve">RC-0005</t>
  </si>
  <si>
    <t xml:space="preserve">Access Revoked - No Longer Needed</t>
  </si>
  <si>
    <t xml:space="preserve">RC-0006</t>
  </si>
  <si>
    <t xml:space="preserve">RC-0007</t>
  </si>
  <si>
    <t xml:space="preserve">RC-0008</t>
  </si>
  <si>
    <t xml:space="preserve">RC-0009</t>
  </si>
  <si>
    <t xml:space="preserve">RC-0010</t>
  </si>
  <si>
    <t xml:space="preserve">RC-0011</t>
  </si>
  <si>
    <t xml:space="preserve">RC-0012</t>
  </si>
  <si>
    <t xml:space="preserve">RC-0013</t>
  </si>
  <si>
    <t xml:space="preserve">RC-0014</t>
  </si>
  <si>
    <t xml:space="preserve">RC-0015</t>
  </si>
  <si>
    <t xml:space="preserve">RC-0016</t>
  </si>
  <si>
    <t xml:space="preserve">RC-0017</t>
  </si>
  <si>
    <t xml:space="preserve">RC-0018</t>
  </si>
  <si>
    <t xml:space="preserve">RC-0019</t>
  </si>
  <si>
    <t xml:space="preserve">RC-0020</t>
  </si>
  <si>
    <t xml:space="preserve">RC-0021</t>
  </si>
  <si>
    <t xml:space="preserve">RC-0022</t>
  </si>
  <si>
    <t xml:space="preserve">RC-0023</t>
  </si>
  <si>
    <t xml:space="preserve">RC-0024</t>
  </si>
  <si>
    <t xml:space="preserve">RC-0025</t>
  </si>
  <si>
    <t xml:space="preserve">RC-0026</t>
  </si>
  <si>
    <t xml:space="preserve">RC-0027</t>
  </si>
  <si>
    <t xml:space="preserve">RC-0028</t>
  </si>
  <si>
    <t xml:space="preserve">RC-0029</t>
  </si>
  <si>
    <t xml:space="preserve">RC-0030</t>
  </si>
  <si>
    <t xml:space="preserve">RC-0031</t>
  </si>
  <si>
    <t xml:space="preserve">RC-0032</t>
  </si>
  <si>
    <t xml:space="preserve">RC-0033</t>
  </si>
  <si>
    <t xml:space="preserve">RC-0034</t>
  </si>
  <si>
    <t xml:space="preserve">RC-0035</t>
  </si>
  <si>
    <t xml:space="preserve">RC-0036</t>
  </si>
  <si>
    <t xml:space="preserve">RC-0037</t>
  </si>
  <si>
    <t xml:space="preserve">RC-0038</t>
  </si>
  <si>
    <t xml:space="preserve">RC-0039</t>
  </si>
  <si>
    <t xml:space="preserve">Escalated for Review</t>
  </si>
  <si>
    <t xml:space="preserve">RC-0040</t>
  </si>
  <si>
    <t xml:space="preserve">RC-0041</t>
  </si>
  <si>
    <t xml:space="preserve">RC-0042</t>
  </si>
  <si>
    <t xml:space="preserve">RC-0043</t>
  </si>
  <si>
    <t xml:space="preserve">RC-0044</t>
  </si>
  <si>
    <t xml:space="preserve">RC-0045</t>
  </si>
  <si>
    <t xml:space="preserve">RC-0046</t>
  </si>
  <si>
    <t xml:space="preserve">RC-0047</t>
  </si>
  <si>
    <t xml:space="preserve">RC-0048</t>
  </si>
  <si>
    <t xml:space="preserve">RC-0049</t>
  </si>
  <si>
    <t xml:space="preserve">RC-0050</t>
  </si>
  <si>
    <t xml:space="preserve">RC-0051</t>
  </si>
  <si>
    <t xml:space="preserve">RC-0052</t>
  </si>
  <si>
    <t xml:space="preserve">RC-0053</t>
  </si>
  <si>
    <t xml:space="preserve">RC-0054</t>
  </si>
  <si>
    <t xml:space="preserve">RC-0055</t>
  </si>
  <si>
    <t xml:space="preserve">RC-0056</t>
  </si>
  <si>
    <t xml:space="preserve">RC-0057</t>
  </si>
  <si>
    <t xml:space="preserve">RC-0058</t>
  </si>
  <si>
    <t xml:space="preserve">RC-0059</t>
  </si>
  <si>
    <t xml:space="preserve">RC-0060</t>
  </si>
  <si>
    <t xml:space="preserve">RC-0061</t>
  </si>
  <si>
    <t xml:space="preserve">RC-0062</t>
  </si>
  <si>
    <t xml:space="preserve">RC-0063</t>
  </si>
  <si>
    <t xml:space="preserve">RC-0064</t>
  </si>
  <si>
    <t xml:space="preserve">RC-0065</t>
  </si>
  <si>
    <t xml:space="preserve">RC-0066</t>
  </si>
  <si>
    <t xml:space="preserve">RC-0067</t>
  </si>
  <si>
    <t xml:space="preserve">RC-0068</t>
  </si>
  <si>
    <t xml:space="preserve">RC-0069</t>
  </si>
  <si>
    <t xml:space="preserve">RC-0070</t>
  </si>
  <si>
    <t xml:space="preserve">RC-0071</t>
  </si>
  <si>
    <t xml:space="preserve">RC-0072</t>
  </si>
  <si>
    <t xml:space="preserve">RC-0073</t>
  </si>
  <si>
    <t xml:space="preserve">RC-0074</t>
  </si>
  <si>
    <t xml:space="preserve">RC-0075</t>
  </si>
  <si>
    <t xml:space="preserve">RC-0076</t>
  </si>
  <si>
    <t xml:space="preserve">RC-0077</t>
  </si>
  <si>
    <t xml:space="preserve">RC-0078</t>
  </si>
  <si>
    <t xml:space="preserve">RC-0079</t>
  </si>
  <si>
    <t xml:space="preserve">RC-0080</t>
  </si>
  <si>
    <t xml:space="preserve">RC-0081</t>
  </si>
  <si>
    <t xml:space="preserve">RC-0082</t>
  </si>
  <si>
    <t xml:space="preserve">RC-0083</t>
  </si>
  <si>
    <t xml:space="preserve">RC-0084</t>
  </si>
  <si>
    <t xml:space="preserve">RC-0085</t>
  </si>
  <si>
    <t xml:space="preserve">RC-0086</t>
  </si>
  <si>
    <t xml:space="preserve">RC-0087</t>
  </si>
  <si>
    <t xml:space="preserve">RC-0088</t>
  </si>
  <si>
    <t xml:space="preserve">RC-0089</t>
  </si>
  <si>
    <t xml:space="preserve">RC-0090</t>
  </si>
  <si>
    <t xml:space="preserve">RC-0091</t>
  </si>
  <si>
    <t xml:space="preserve">RC-0092</t>
  </si>
  <si>
    <t xml:space="preserve">RC-0093</t>
  </si>
  <si>
    <t xml:space="preserve">RC-0094</t>
  </si>
  <si>
    <t xml:space="preserve">RC-0095</t>
  </si>
  <si>
    <t xml:space="preserve">RC-0096</t>
  </si>
  <si>
    <t xml:space="preserve">RC-0097</t>
  </si>
  <si>
    <t xml:space="preserve">RC-0098</t>
  </si>
  <si>
    <t xml:space="preserve">RC-0099</t>
  </si>
  <si>
    <t xml:space="preserve">RC-0100</t>
  </si>
  <si>
    <t xml:space="preserve">RC-0101</t>
  </si>
  <si>
    <t xml:space="preserve">RC-0102</t>
  </si>
  <si>
    <t xml:space="preserve">RC-0103</t>
  </si>
  <si>
    <t xml:space="preserve">RC-0104</t>
  </si>
  <si>
    <t xml:space="preserve">RC-0105</t>
  </si>
  <si>
    <t xml:space="preserve">RC-0106</t>
  </si>
  <si>
    <t xml:space="preserve">RC-0107</t>
  </si>
  <si>
    <t xml:space="preserve">RC-0108</t>
  </si>
  <si>
    <t xml:space="preserve">RC-0109</t>
  </si>
  <si>
    <t xml:space="preserve">RC-0110</t>
  </si>
  <si>
    <t xml:space="preserve">RC-0111</t>
  </si>
  <si>
    <t xml:space="preserve">RC-0112</t>
  </si>
  <si>
    <t xml:space="preserve">RC-0113</t>
  </si>
  <si>
    <t xml:space="preserve">RC-0114</t>
  </si>
  <si>
    <t xml:space="preserve">RC-0115</t>
  </si>
  <si>
    <t xml:space="preserve">RC-0116</t>
  </si>
  <si>
    <t xml:space="preserve">RC-0117</t>
  </si>
  <si>
    <t xml:space="preserve">RC-0118</t>
  </si>
  <si>
    <t xml:space="preserve">GrantStatus</t>
  </si>
  <si>
    <t xml:space="preserve">Test1_Deprovisioning_Flag</t>
  </si>
  <si>
    <t xml:space="preserve">Test2_Approval_Flag</t>
  </si>
  <si>
    <t xml:space="preserve">SoD_ConflictRoleID</t>
  </si>
  <si>
    <t xml:space="preserve">SoD_ConflictRoleName</t>
  </si>
  <si>
    <t xml:space="preserve">Test3_SoD_Flag</t>
  </si>
  <si>
    <t xml:space="preserve">Test4_PrivilegedRecert_Flag</t>
  </si>
  <si>
    <t xml:space="preserve">Overall_Exception</t>
  </si>
  <si>
    <t xml:space="preserve">Exception_RootCause_Category</t>
  </si>
  <si>
    <t xml:space="preserve">ITGC Access Audit — Exception Dashboard</t>
  </si>
  <si>
    <t xml:space="preserve">All figures below are COUNTIFS/SUMPRODUCT formulas reading live from Audit_Testing and Recertifications — refresh by recalculating the workbook. Audit_Testing is a proper Excel Table ('AuditTesting'), so a native PivotTable can also be inserted from it at any time.</t>
  </si>
  <si>
    <t xml:space="preserve">Total Access Grants Tested</t>
  </si>
  <si>
    <t xml:space="preserve">Total Exceptions</t>
  </si>
  <si>
    <t xml:space="preserve">Overall Exception Rate</t>
  </si>
  <si>
    <t xml:space="preserve">Privileged (Admin) Grants</t>
  </si>
  <si>
    <t xml:space="preserve">Exception Rate by Department</t>
  </si>
  <si>
    <t xml:space="preserve">Exception Rate by System</t>
  </si>
  <si>
    <t xml:space="preserve">Total Grants</t>
  </si>
  <si>
    <t xml:space="preserve">Exceptions</t>
  </si>
  <si>
    <t xml:space="preserve">Exception Rate</t>
  </si>
  <si>
    <t xml:space="preserve">System</t>
  </si>
  <si>
    <t xml:space="preserve">SYS-ERP — ERP Finance (SAP)</t>
  </si>
  <si>
    <t xml:space="preserve">SYS-HRIS — HRIS / Payroll</t>
  </si>
  <si>
    <t xml:space="preserve">SYS-AD — Active Directory / Network</t>
  </si>
  <si>
    <t xml:space="preserve">SYS-CRM — CRM Sales</t>
  </si>
  <si>
    <t xml:space="preserve">SYS-BANK — Banking Portal</t>
  </si>
  <si>
    <t xml:space="preserve">Recertification Timeliness by Reviewer</t>
  </si>
  <si>
    <t xml:space="preserve">Exceptions by Root-Cause Category</t>
  </si>
  <si>
    <t xml:space="preserve">Assigned Recerts</t>
  </si>
  <si>
    <t xml:space="preserve">Overdue / Completed Late</t>
  </si>
  <si>
    <t xml:space="preserve">% Overdue or Late</t>
  </si>
  <si>
    <t xml:space="preserve">Root-Cause Category</t>
  </si>
  <si>
    <t xml:space="preserve">Count</t>
  </si>
  <si>
    <t xml:space="preserve">% of Total Exceptions</t>
  </si>
  <si>
    <t xml:space="preserve">Deprovisioning Control Gap</t>
  </si>
  <si>
    <t xml:space="preserve">Segregation of Duties Conflict</t>
  </si>
  <si>
    <t xml:space="preserve">Provisioning Approval Gap</t>
  </si>
  <si>
    <t xml:space="preserve">Recertification Gap</t>
  </si>
  <si>
    <t xml:space="preserve">MEMORANDUM</t>
  </si>
  <si>
    <t xml:space="preserve">To:</t>
  </si>
  <si>
    <t xml:space="preserve">Audit Committee; CIO; VP, Information Security</t>
  </si>
  <si>
    <t xml:space="preserve">From:</t>
  </si>
  <si>
    <t xml:space="preserve">Internal Audit — IT General Controls</t>
  </si>
  <si>
    <t xml:space="preserve">Date:</t>
  </si>
  <si>
    <t xml:space="preserve">September 18, 2026</t>
  </si>
  <si>
    <t xml:space="preserve">Re:</t>
  </si>
  <si>
    <t xml:space="preserve">User Access Provisioning, SoD, and Recertification Audit — FY2026 Q3</t>
  </si>
  <si>
    <t xml:space="preserve">Objective &amp; Scope</t>
  </si>
  <si>
    <t xml:space="preserve">Internal Audit performed a review of IT general controls (ITGC) over user access for five in-scope financial and operational systems: ERP Finance, HRIS/Payroll, Active Directory, CRM Sales, and the Banking Portal. The review tested 174 active and historical access grants across 50 employees against four control objectives: (1) timely deprovisioning of terminated users, (2) segregation of duties (SoD) between conflicting roles, (3) documented approval prior to provisioning, and (4) periodic recertification of access, with emphasis on privileged/administrative entitlements.</t>
  </si>
  <si>
    <t xml:space="preserve">Methodology</t>
  </si>
  <si>
    <t xml:space="preserve">Access, HR termination, and recertification logs were reconciled using formula-based testing (INDEX/MATCH, COUNTIFS, nested IF/AND/OR) rather than manual sampling — every one of the 174 grants in population was tested against all four control objectives (see Audit_Testing tab), not a sample. Company policy (per IT Access Management Standard) requires: access revoked within 5 calendar days of termination; no user to concurrently hold two roles listed in the SoD conflict matrix (6 rules tested, see SoD_Conflict_Matrix tab); every grant to carry a named approver and change-ticket reference; and privileged/admin access to be recertified at least every 90 days (all other access annually).</t>
  </si>
  <si>
    <t xml:space="preserve">Overall Result</t>
  </si>
  <si>
    <t xml:space="preserve">78 of 174 access grants tested (44.8%) triggered at least one control exception. Exception rates were materially higher in Accounts Payable (59.3%), Payroll (75.0%) and Treasury (63.2%) than in IT Operations (30.8%) or Customer Service (31.3%), and were concentrated in the ERP Finance, HRIS/Payroll and Banking Portal systems — the three systems with the most direct path to financial-statement or cash impact. This pattern indicates the control gaps are not evenly distributed noise but are concentrated in the highest financial-risk systems, and should be prioritized accordingly.</t>
  </si>
  <si>
    <t xml:space="preserve">Detailed Findings</t>
  </si>
  <si>
    <t xml:space="preserve">Finding 1: Segregation of Duties Conflicts (45 exceptions — HIGH)</t>
  </si>
  <si>
    <t xml:space="preserve">Condition (what we found):</t>
  </si>
  <si>
    <t xml:space="preserve">45 access grants (across 12 employees) show a single identity concurrently holding two roles defined as conflicting in the SoD matrix — most frequently AP Invoice Entry + AP Payment Approval, and Wire Initiation + Wire Approval/Release.</t>
  </si>
  <si>
    <t xml:space="preserve">Criteria (what should happen):</t>
  </si>
  <si>
    <t xml:space="preserve">IT Access Management Standard §4.2 prohibits any single user from holding both roles in a defined SoD pair without a documented compensating control (e.g., independent monthly review).</t>
  </si>
  <si>
    <t xml:space="preserve">Root Cause:</t>
  </si>
  <si>
    <t xml:space="preserve">Role provisioning is requested and approved at the individual-role level with no automated SoD conflict check at the time of request; approvers are not shown the requester's existing role portfolio when approving a new role.</t>
  </si>
  <si>
    <t xml:space="preserve">Effect / Risk:</t>
  </si>
  <si>
    <t xml:space="preserve">A single compromised or collusive identity could enter and approve a fraudulent AP payment or wire transfer, or create a fictitious vendor and approve payment to it, without a second party in the process.</t>
  </si>
  <si>
    <t xml:space="preserve">Recommendation:</t>
  </si>
  <si>
    <t xml:space="preserve">(1) Implement a preventive SoD check in the access-request workflow that blocks or requires senior-management override for any request creating a conflict. (2) Run this Audit_Testing SoD logic monthly as a detective control until the preventive control is live. (3) Remediate the 45 existing conflicts within 30 days — either revoke one conflicting role per user or document an approved compensating control.</t>
  </si>
  <si>
    <t xml:space="preserve">Finding 2: Terminated Users With Active Access (15 exceptions — HIGH)</t>
  </si>
  <si>
    <t xml:space="preserve">15 access grants belonging to 11 terminated employees remain in Active status past the 5-calendar-day deprovisioning SLA — in several cases the employee's access was never revoked at all.</t>
  </si>
  <si>
    <t xml:space="preserve">IT Access Management Standard §3.1 requires all system access to be revoked within 5 calendar days of the HR-recorded termination date, triggered automatically from the HRIS termination event.</t>
  </si>
  <si>
    <t xml:space="preserve">Deprovisioning is currently a manual, HR-initiated email to system owners rather than an automated feed from HRIS to each system's identity store; the reconciliation between HR_Employees and Access_Grants performed in this audit is not run as a routine control by the business.</t>
  </si>
  <si>
    <t xml:space="preserve">Former employees (and anyone who obtains their still-valid credentials) retain the ability to view or manipulate financial and payroll data after separation — a direct control failure relevant to SOX ITGC assertions over access to financial reporting systems.</t>
  </si>
  <si>
    <t xml:space="preserve">(1) Automate deprovisioning via an HRIS-to-IAM termination feed for the three critical systems (ERP, HRIS, Banking Portal) as the highest priority. (2) Until automated, require system owners to certify weekly against a termination report. (3) Immediately revoke the 15 identified grants.</t>
  </si>
  <si>
    <t xml:space="preserve">Finding 3: Access Provisioned Without Documented Approval (23 exceptions — MEDIUM)</t>
  </si>
  <si>
    <t xml:space="preserve">23 access grants have no recorded approver name and/or no change-ticket reference on file.</t>
  </si>
  <si>
    <t xml:space="preserve">IT Access Management Standard §2.3 requires every access grant to be linked to a named approver and a change/service-ticket reference retained as evidence.</t>
  </si>
  <si>
    <t xml:space="preserve">A subset of grants were provisioned via a legacy direct-request process that bypassed the ticketing system, predominantly during onboarding surges; no control currently prevents a grant being marked Active without both fields populated.</t>
  </si>
  <si>
    <t xml:space="preserve">Without an approval record, Internal Audit and system owners cannot demonstrate that access was authorized by someone with the appropriate authority — an ITGC design gap independent of whether the access itself is inappropriate.</t>
  </si>
  <si>
    <t xml:space="preserve">(1) Make ApprovedBy and ApprovalDocRef mandatory fields (system-enforced) in the provisioning tool. (2) Retroactively obtain and document approval for the 23 grants identified, or revoke access that cannot be retroactively justified.</t>
  </si>
  <si>
    <t xml:space="preserve">Finding 4: Recertification Gaps (14 exceptions — MEDIUM)</t>
  </si>
  <si>
    <t xml:space="preserve">11 privileged (Admin-level) access grants have no recertification record on file at all, and a further 3 recertifications were completed more than 2 weeks after their due date.</t>
  </si>
  <si>
    <t xml:space="preserve">IT Access Management Standard §5.1 requires privileged access to be recertified at least every 90 days by the accountable manager, with evidence retained.</t>
  </si>
  <si>
    <t xml:space="preserve">Recertification is scheduled and tracked manually in spreadsheets by individual system owners rather than through a central, system-enforced calendar with escalation for missed reviews.</t>
  </si>
  <si>
    <t xml:space="preserve">Privileged access that is no longer needed (e.g., following a role change) can persist undetected for extended periods, widening the population of users who could misuse elevated access.</t>
  </si>
  <si>
    <t xml:space="preserve">(1) Stand up a centrally tracked recertification calendar with automatic escalation to the accountable manager's manager after 14 days overdue. (2) Complete the 11 missing recertifications for privileged access within 15 days as a priority remediation.</t>
  </si>
  <si>
    <t xml:space="preserve">Overall Audit Opinion</t>
  </si>
  <si>
    <t xml:space="preserve">Controls over user access provisioning, segregation of duties, and periodic recertification are assessed as PARTIALLY EFFECTIVE. Detective capability exists (this testing itself proves the population is fully reconcilable), but key preventive controls — an automated HRIS-to-IAM deprovisioning feed and a preventive SoD check at the point of request — are absent, resulting in a 44.8% exception rate concentrated in financially significant systems. Internal Audit recommends management formally track remediation of the four findings above with target dates, and that this Audit_Testing workbook (or an equivalent automated control) be re-run monthly as an interim detective control while preventive automation is implemented.</t>
  </si>
</sst>
</file>

<file path=xl/styles.xml><?xml version="1.0" encoding="utf-8"?>
<styleSheet xmlns="http://schemas.openxmlformats.org/spreadsheetml/2006/main">
  <numFmts count="4">
    <numFmt numFmtId="164" formatCode="General"/>
    <numFmt numFmtId="165" formatCode="yyyy\-mm\-dd"/>
    <numFmt numFmtId="166" formatCode="General"/>
    <numFmt numFmtId="167" formatCode="0.0%"/>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Calibri"/>
      <family val="0"/>
      <charset val="1"/>
    </font>
    <font>
      <i val="true"/>
      <sz val="10"/>
      <color rgb="FF595959"/>
      <name val="Calibri"/>
      <family val="0"/>
      <charset val="1"/>
    </font>
    <font>
      <b val="true"/>
      <sz val="12"/>
      <color rgb="FF1F3864"/>
      <name val="Calibri"/>
      <family val="0"/>
      <charset val="1"/>
    </font>
    <font>
      <sz val="10"/>
      <name val="Calibri"/>
      <family val="0"/>
      <charset val="1"/>
    </font>
    <font>
      <b val="true"/>
      <sz val="10"/>
      <name val="Calibri"/>
      <family val="0"/>
      <charset val="1"/>
    </font>
    <font>
      <b val="true"/>
      <sz val="10"/>
      <color rgb="FFFFFFFF"/>
      <name val="Calibri"/>
      <family val="0"/>
      <charset val="1"/>
    </font>
    <font>
      <sz val="9"/>
      <color rgb="FF595959"/>
      <name val="Calibri"/>
      <family val="0"/>
      <charset val="1"/>
    </font>
    <font>
      <b val="true"/>
      <sz val="20"/>
      <color rgb="FF1F3864"/>
      <name val="Calibri"/>
      <family val="0"/>
      <charset val="1"/>
    </font>
    <font>
      <b val="true"/>
      <sz val="20"/>
      <color rgb="FFC00000"/>
      <name val="Calibri"/>
      <family val="0"/>
      <charset val="1"/>
    </font>
    <font>
      <b val="true"/>
      <sz val="13"/>
      <color rgb="FF1F3864"/>
      <name val="Calibri"/>
      <family val="0"/>
      <charset val="1"/>
    </font>
    <font>
      <b val="true"/>
      <sz val="11"/>
      <color rgb="FFC00000"/>
      <name val="Calibri"/>
      <family val="0"/>
      <charset val="1"/>
    </font>
    <font>
      <b val="true"/>
      <i val="true"/>
      <sz val="9"/>
      <name val="Calibri"/>
      <family val="0"/>
      <charset val="1"/>
    </font>
  </fonts>
  <fills count="4">
    <fill>
      <patternFill patternType="none"/>
    </fill>
    <fill>
      <patternFill patternType="gray125"/>
    </fill>
    <fill>
      <patternFill patternType="solid">
        <fgColor rgb="FF1F3864"/>
        <bgColor rgb="FF333333"/>
      </patternFill>
    </fill>
    <fill>
      <patternFill patternType="solid">
        <fgColor rgb="FFEDEDED"/>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10" fillId="3" borderId="0" xfId="0" applyFont="true" applyBorder="true" applyAlignment="true" applyProtection="false">
      <alignment horizontal="general" vertical="bottom" textRotation="0" wrapText="false" indent="0" shrinkToFit="false"/>
      <protection locked="true" hidden="false"/>
    </xf>
    <xf numFmtId="166" fontId="11" fillId="3" borderId="0" xfId="0" applyFont="true" applyBorder="true" applyAlignment="true" applyProtection="false">
      <alignment horizontal="general" vertical="bottom" textRotation="0" wrapText="false" indent="0" shrinkToFit="false"/>
      <protection locked="true" hidden="false"/>
    </xf>
    <xf numFmtId="167" fontId="12" fillId="3"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AccessGrants" displayName="AccessGrants" ref="A1:M175" headerRowCount="1" totalsRowCount="0" totalsRowShown="0">
  <autoFilter ref="A1:M175"/>
  <tableColumns count="13">
    <tableColumn id="1" name="GrantID"/>
    <tableColumn id="2" name="EmployeeID"/>
    <tableColumn id="3" name="EmployeeName"/>
    <tableColumn id="4" name="Department"/>
    <tableColumn id="5" name="SystemID"/>
    <tableColumn id="6" name="RoleID"/>
    <tableColumn id="7" name="RoleName"/>
    <tableColumn id="8" name="AccessLevel"/>
    <tableColumn id="9" name="GrantDate"/>
    <tableColumn id="10" name="ApprovedBy"/>
    <tableColumn id="11" name="ApprovalDocRef"/>
    <tableColumn id="12" name="Status"/>
    <tableColumn id="13" name="RevokeDate"/>
  </tableColumns>
</table>
</file>

<file path=xl/tables/table2.xml><?xml version="1.0" encoding="utf-8"?>
<table xmlns="http://schemas.openxmlformats.org/spreadsheetml/2006/main" id="2" name="AuditTesting" displayName="AuditTesting" ref="A1:V175" headerRowCount="1" totalsRowCount="0" totalsRowShown="0">
  <autoFilter ref="A1:V175"/>
  <tableColumns count="22">
    <tableColumn id="1" name="GrantID"/>
    <tableColumn id="2" name="EmployeeID"/>
    <tableColumn id="3" name="EmployeeName"/>
    <tableColumn id="4" name="Department"/>
    <tableColumn id="5" name="SystemID"/>
    <tableColumn id="6" name="RoleID"/>
    <tableColumn id="7" name="RoleName"/>
    <tableColumn id="8" name="AccessLevel"/>
    <tableColumn id="9" name="GrantStatus"/>
    <tableColumn id="10" name="GrantDate"/>
    <tableColumn id="11" name="TerminationDate"/>
    <tableColumn id="12" name="RevokeDate"/>
    <tableColumn id="13" name="Test1_Deprovisioning_Flag"/>
    <tableColumn id="14" name="ApprovedBy"/>
    <tableColumn id="15" name="ApprovalDocRef"/>
    <tableColumn id="16" name="Test2_Approval_Flag"/>
    <tableColumn id="17" name="SoD_ConflictRoleID"/>
    <tableColumn id="18" name="SoD_ConflictRoleName"/>
    <tableColumn id="19" name="Test3_SoD_Flag"/>
    <tableColumn id="20" name="Test4_PrivilegedRecert_Flag"/>
    <tableColumn id="21" name="Overall_Exception"/>
    <tableColumn id="22" name="Exception_RootCause_Category"/>
  </tableColumns>
</table>
</file>

<file path=xl/tables/table3.xml><?xml version="1.0" encoding="utf-8"?>
<table xmlns="http://schemas.openxmlformats.org/spreadsheetml/2006/main" id="3" name="HREmployees" displayName="HREmployees" ref="A1:H51" headerRowCount="1" totalsRowCount="0" totalsRowShown="0">
  <autoFilter ref="A1:H51"/>
  <tableColumns count="8">
    <tableColumn id="1" name="EmployeeID"/>
    <tableColumn id="2" name="Name"/>
    <tableColumn id="3" name="Department"/>
    <tableColumn id="4" name="JobTitle"/>
    <tableColumn id="5" name="HireDate"/>
    <tableColumn id="6" name="TerminationDate"/>
    <tableColumn id="7" name="Manager"/>
    <tableColumn id="8" name="EmploymentStatus"/>
  </tableColumns>
</table>
</file>

<file path=xl/tables/table4.xml><?xml version="1.0" encoding="utf-8"?>
<table xmlns="http://schemas.openxmlformats.org/spreadsheetml/2006/main" id="4" name="RecertLog" displayName="RecertLog" ref="A1:M119" headerRowCount="1" totalsRowCount="0" totalsRowShown="0">
  <autoFilter ref="A1:M119"/>
  <tableColumns count="13">
    <tableColumn id="1" name="RecertID"/>
    <tableColumn id="2" name="EmployeeID"/>
    <tableColumn id="3" name="EmployeeName"/>
    <tableColumn id="4" name="SystemID"/>
    <tableColumn id="5" name="RoleID"/>
    <tableColumn id="6" name="RoleName"/>
    <tableColumn id="7" name="AccessLevel"/>
    <tableColumn id="8" name="ReviewCycleDays"/>
    <tableColumn id="9" name="DueDate"/>
    <tableColumn id="10" name="Reviewer"/>
    <tableColumn id="11" name="CompletedDate"/>
    <tableColumn id="12" name="Result"/>
    <tableColumn id="13" name="Recert_Status"/>
  </tableColumns>
</table>
</file>

<file path=xl/tables/table5.xml><?xml version="1.0" encoding="utf-8"?>
<table xmlns="http://schemas.openxmlformats.org/spreadsheetml/2006/main" id="5" name="SoDMatrix" displayName="SoDMatrix" ref="A1:F7" headerRowCount="1" totalsRowCount="0" totalsRowShown="0">
  <autoFilter ref="A1:F7"/>
  <tableColumns count="6">
    <tableColumn id="1" name="RuleID"/>
    <tableColumn id="2" name="RoleA_ID"/>
    <tableColumn id="3" name="RoleA_Name"/>
    <tableColumn id="4" name="RoleB_ID"/>
    <tableColumn id="5" name="RoleB_Name"/>
    <tableColumn id="6" name="ConflictRational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J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10" min="3" style="1" width="10"/>
  </cols>
  <sheetData>
    <row r="2" customFormat="false" ht="19.5" hidden="false" customHeight="true" outlineLevel="0" collapsed="false">
      <c r="B2" s="2" t="s">
        <v>0</v>
      </c>
    </row>
    <row r="3" customFormat="false" ht="23.25" hidden="false" customHeight="true" outlineLevel="0" collapsed="false">
      <c r="B3" s="3" t="s">
        <v>1</v>
      </c>
      <c r="C3" s="3"/>
      <c r="D3" s="3"/>
      <c r="E3" s="3"/>
      <c r="F3" s="3"/>
      <c r="G3" s="3"/>
      <c r="H3" s="3"/>
      <c r="I3" s="3"/>
      <c r="J3" s="3"/>
    </row>
    <row r="5" customFormat="false" ht="15" hidden="false" customHeight="true" outlineLevel="0" collapsed="false">
      <c r="B5" s="4" t="s">
        <v>2</v>
      </c>
    </row>
    <row r="6" customFormat="false" ht="60" hidden="false" customHeight="true" outlineLevel="0" collapsed="false">
      <c r="B6" s="5" t="s">
        <v>3</v>
      </c>
      <c r="C6" s="5"/>
      <c r="D6" s="5"/>
      <c r="E6" s="5"/>
      <c r="F6" s="5"/>
      <c r="G6" s="5"/>
      <c r="H6" s="5"/>
      <c r="I6" s="5"/>
      <c r="J6" s="5"/>
    </row>
    <row r="8" customFormat="false" ht="15" hidden="false" customHeight="true" outlineLevel="0" collapsed="false">
      <c r="B8" s="4" t="s">
        <v>4</v>
      </c>
    </row>
    <row r="9" customFormat="false" ht="60" hidden="false" customHeight="true" outlineLevel="0" collapsed="false">
      <c r="B9" s="5" t="s">
        <v>5</v>
      </c>
      <c r="C9" s="5"/>
      <c r="D9" s="5"/>
      <c r="E9" s="5"/>
      <c r="F9" s="5"/>
      <c r="G9" s="5"/>
      <c r="H9" s="5"/>
      <c r="I9" s="5"/>
      <c r="J9" s="5"/>
    </row>
    <row r="11" customFormat="false" ht="15" hidden="false" customHeight="true" outlineLevel="0" collapsed="false">
      <c r="B11" s="4" t="s">
        <v>6</v>
      </c>
    </row>
    <row r="12" customFormat="false" ht="60" hidden="false" customHeight="true" outlineLevel="0" collapsed="false">
      <c r="B12" s="5" t="s">
        <v>7</v>
      </c>
      <c r="C12" s="5"/>
      <c r="D12" s="5"/>
      <c r="E12" s="5"/>
      <c r="F12" s="5"/>
      <c r="G12" s="5"/>
      <c r="H12" s="5"/>
      <c r="I12" s="5"/>
      <c r="J12" s="5"/>
    </row>
    <row r="14" customFormat="false" ht="15" hidden="false" customHeight="true" outlineLevel="0" collapsed="false">
      <c r="B14" s="4" t="s">
        <v>8</v>
      </c>
    </row>
    <row r="15" customFormat="false" ht="60" hidden="false" customHeight="true" outlineLevel="0" collapsed="false">
      <c r="B15" s="5" t="s">
        <v>9</v>
      </c>
      <c r="C15" s="5"/>
      <c r="D15" s="5"/>
      <c r="E15" s="5"/>
      <c r="F15" s="5"/>
      <c r="G15" s="5"/>
      <c r="H15" s="5"/>
      <c r="I15" s="5"/>
      <c r="J15" s="5"/>
    </row>
    <row r="17" customFormat="false" ht="15" hidden="false" customHeight="true" outlineLevel="0" collapsed="false">
      <c r="B17" s="4" t="s">
        <v>10</v>
      </c>
    </row>
    <row r="18" customFormat="false" ht="60" hidden="false" customHeight="true" outlineLevel="0" collapsed="false">
      <c r="B18" s="5" t="s">
        <v>11</v>
      </c>
      <c r="C18" s="5"/>
      <c r="D18" s="5"/>
      <c r="E18" s="5"/>
      <c r="F18" s="5"/>
      <c r="G18" s="5"/>
      <c r="H18" s="5"/>
      <c r="I18" s="5"/>
      <c r="J18" s="5"/>
    </row>
    <row r="20" customFormat="false" ht="15" hidden="false" customHeight="true" outlineLevel="0" collapsed="false">
      <c r="B20" s="4" t="s">
        <v>12</v>
      </c>
    </row>
    <row r="21" customFormat="false" ht="15" hidden="false" customHeight="true" outlineLevel="0" collapsed="false">
      <c r="B21" s="6" t="s">
        <v>13</v>
      </c>
      <c r="C21" s="7" t="s">
        <v>14</v>
      </c>
      <c r="D21" s="7"/>
      <c r="E21" s="7"/>
      <c r="F21" s="7"/>
      <c r="G21" s="7"/>
      <c r="H21" s="7"/>
      <c r="I21" s="7"/>
      <c r="J21" s="7"/>
    </row>
    <row r="22" customFormat="false" ht="15" hidden="false" customHeight="true" outlineLevel="0" collapsed="false">
      <c r="B22" s="6" t="s">
        <v>15</v>
      </c>
      <c r="C22" s="7" t="s">
        <v>16</v>
      </c>
      <c r="D22" s="7"/>
      <c r="E22" s="7"/>
      <c r="F22" s="7"/>
      <c r="G22" s="7"/>
      <c r="H22" s="7"/>
      <c r="I22" s="7"/>
      <c r="J22" s="7"/>
    </row>
    <row r="23" customFormat="false" ht="23.25" hidden="false" customHeight="true" outlineLevel="0" collapsed="false">
      <c r="B23" s="6" t="s">
        <v>17</v>
      </c>
      <c r="C23" s="7" t="s">
        <v>18</v>
      </c>
      <c r="D23" s="7"/>
      <c r="E23" s="7"/>
      <c r="F23" s="7"/>
      <c r="G23" s="7"/>
      <c r="H23" s="7"/>
      <c r="I23" s="7"/>
      <c r="J23" s="7"/>
    </row>
    <row r="24" customFormat="false" ht="15" hidden="false" customHeight="true" outlineLevel="0" collapsed="false">
      <c r="B24" s="6" t="s">
        <v>19</v>
      </c>
      <c r="C24" s="7" t="s">
        <v>20</v>
      </c>
      <c r="D24" s="7"/>
      <c r="E24" s="7"/>
      <c r="F24" s="7"/>
      <c r="G24" s="7"/>
      <c r="H24" s="7"/>
      <c r="I24" s="7"/>
      <c r="J24" s="7"/>
    </row>
    <row r="25" customFormat="false" ht="15" hidden="false" customHeight="true" outlineLevel="0" collapsed="false">
      <c r="B25" s="6" t="s">
        <v>21</v>
      </c>
      <c r="C25" s="7" t="s">
        <v>22</v>
      </c>
      <c r="D25" s="7"/>
      <c r="E25" s="7"/>
      <c r="F25" s="7"/>
      <c r="G25" s="7"/>
      <c r="H25" s="7"/>
      <c r="I25" s="7"/>
      <c r="J25" s="7"/>
    </row>
    <row r="26" customFormat="false" ht="23.25" hidden="false" customHeight="true" outlineLevel="0" collapsed="false">
      <c r="B26" s="6" t="s">
        <v>23</v>
      </c>
      <c r="C26" s="7" t="s">
        <v>24</v>
      </c>
      <c r="D26" s="7"/>
      <c r="E26" s="7"/>
      <c r="F26" s="7"/>
      <c r="G26" s="7"/>
      <c r="H26" s="7"/>
      <c r="I26" s="7"/>
      <c r="J26" s="7"/>
    </row>
    <row r="27" customFormat="false" ht="23.25" hidden="false" customHeight="true" outlineLevel="0" collapsed="false">
      <c r="B27" s="6" t="s">
        <v>25</v>
      </c>
      <c r="C27" s="7" t="s">
        <v>26</v>
      </c>
      <c r="D27" s="7"/>
      <c r="E27" s="7"/>
      <c r="F27" s="7"/>
      <c r="G27" s="7"/>
      <c r="H27" s="7"/>
      <c r="I27" s="7"/>
      <c r="J27" s="7"/>
    </row>
    <row r="28" customFormat="false" ht="23.25" hidden="false" customHeight="true" outlineLevel="0" collapsed="false">
      <c r="B28" s="6" t="s">
        <v>27</v>
      </c>
      <c r="C28" s="7" t="s">
        <v>28</v>
      </c>
      <c r="D28" s="7"/>
      <c r="E28" s="7"/>
      <c r="F28" s="7"/>
      <c r="G28" s="7"/>
      <c r="H28" s="7"/>
      <c r="I28" s="7"/>
      <c r="J28" s="7"/>
    </row>
  </sheetData>
  <mergeCells count="14">
    <mergeCell ref="B3:J3"/>
    <mergeCell ref="B6:J6"/>
    <mergeCell ref="B9:J9"/>
    <mergeCell ref="B12:J12"/>
    <mergeCell ref="B15:J15"/>
    <mergeCell ref="B18:J18"/>
    <mergeCell ref="C21:J21"/>
    <mergeCell ref="C22:J22"/>
    <mergeCell ref="C23:J23"/>
    <mergeCell ref="C24:J24"/>
    <mergeCell ref="C25:J25"/>
    <mergeCell ref="C26:J26"/>
    <mergeCell ref="C27:J27"/>
    <mergeCell ref="C28:J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false"/>
  </sheetPr>
  <dimension ref="A1: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18"/>
    <col collapsed="false" customWidth="true" hidden="false" outlineLevel="0" max="4" min="4" style="1" width="14"/>
    <col collapsed="false" customWidth="true" hidden="false" outlineLevel="0" max="5" min="5" style="1" width="12"/>
    <col collapsed="false" customWidth="true" hidden="false" outlineLevel="0" max="6" min="6" style="1" width="15"/>
    <col collapsed="false" customWidth="true" hidden="false" outlineLevel="0" max="7" min="7" style="1" width="10"/>
    <col collapsed="false" customWidth="true" hidden="false" outlineLevel="0" max="8" min="8" style="1" width="14"/>
  </cols>
  <sheetData>
    <row r="1" customFormat="false" ht="23.25" hidden="false" customHeight="true" outlineLevel="0" collapsed="false">
      <c r="A1" s="8" t="s">
        <v>29</v>
      </c>
      <c r="B1" s="8" t="s">
        <v>30</v>
      </c>
      <c r="C1" s="8" t="s">
        <v>31</v>
      </c>
      <c r="D1" s="8" t="s">
        <v>32</v>
      </c>
      <c r="E1" s="8" t="s">
        <v>33</v>
      </c>
      <c r="F1" s="8" t="s">
        <v>34</v>
      </c>
      <c r="G1" s="8" t="s">
        <v>35</v>
      </c>
      <c r="H1" s="8" t="s">
        <v>36</v>
      </c>
    </row>
    <row r="2" customFormat="false" ht="15" hidden="false" customHeight="true" outlineLevel="0" collapsed="false">
      <c r="A2" s="9" t="s">
        <v>37</v>
      </c>
      <c r="B2" s="9" t="s">
        <v>38</v>
      </c>
      <c r="C2" s="9" t="s">
        <v>39</v>
      </c>
      <c r="D2" s="9" t="s">
        <v>40</v>
      </c>
      <c r="E2" s="10" t="n">
        <v>44469</v>
      </c>
      <c r="F2" s="10"/>
      <c r="G2" s="9" t="s">
        <v>41</v>
      </c>
      <c r="H2" s="9" t="str">
        <f aca="false">IF(F2="","Active","Terminated")</f>
        <v>Active</v>
      </c>
    </row>
    <row r="3" customFormat="false" ht="15" hidden="false" customHeight="true" outlineLevel="0" collapsed="false">
      <c r="A3" s="9" t="s">
        <v>42</v>
      </c>
      <c r="B3" s="9" t="s">
        <v>43</v>
      </c>
      <c r="C3" s="9" t="s">
        <v>44</v>
      </c>
      <c r="D3" s="9" t="s">
        <v>35</v>
      </c>
      <c r="E3" s="10" t="n">
        <v>43596</v>
      </c>
      <c r="F3" s="10" t="n">
        <v>45881</v>
      </c>
      <c r="G3" s="9" t="s">
        <v>45</v>
      </c>
      <c r="H3" s="9" t="str">
        <f aca="false">IF(F3="","Active","Terminated")</f>
        <v>Terminated</v>
      </c>
    </row>
    <row r="4" customFormat="false" ht="15" hidden="false" customHeight="true" outlineLevel="0" collapsed="false">
      <c r="A4" s="9" t="s">
        <v>46</v>
      </c>
      <c r="B4" s="9" t="s">
        <v>47</v>
      </c>
      <c r="C4" s="9" t="s">
        <v>48</v>
      </c>
      <c r="D4" s="9" t="s">
        <v>49</v>
      </c>
      <c r="E4" s="10" t="n">
        <v>44280</v>
      </c>
      <c r="F4" s="10"/>
      <c r="G4" s="9" t="s">
        <v>50</v>
      </c>
      <c r="H4" s="9" t="str">
        <f aca="false">IF(F4="","Active","Terminated")</f>
        <v>Active</v>
      </c>
    </row>
    <row r="5" customFormat="false" ht="15" hidden="false" customHeight="true" outlineLevel="0" collapsed="false">
      <c r="A5" s="9" t="s">
        <v>51</v>
      </c>
      <c r="B5" s="9" t="s">
        <v>52</v>
      </c>
      <c r="C5" s="9" t="s">
        <v>39</v>
      </c>
      <c r="D5" s="9" t="s">
        <v>40</v>
      </c>
      <c r="E5" s="10" t="n">
        <v>43492</v>
      </c>
      <c r="F5" s="10"/>
      <c r="G5" s="9" t="s">
        <v>53</v>
      </c>
      <c r="H5" s="9" t="str">
        <f aca="false">IF(F5="","Active","Terminated")</f>
        <v>Active</v>
      </c>
    </row>
    <row r="6" customFormat="false" ht="15" hidden="false" customHeight="true" outlineLevel="0" collapsed="false">
      <c r="A6" s="9" t="s">
        <v>54</v>
      </c>
      <c r="B6" s="9" t="s">
        <v>55</v>
      </c>
      <c r="C6" s="9" t="s">
        <v>39</v>
      </c>
      <c r="D6" s="9" t="s">
        <v>56</v>
      </c>
      <c r="E6" s="10" t="n">
        <v>44102</v>
      </c>
      <c r="F6" s="10"/>
      <c r="G6" s="9" t="s">
        <v>57</v>
      </c>
      <c r="H6" s="9" t="str">
        <f aca="false">IF(F6="","Active","Terminated")</f>
        <v>Active</v>
      </c>
    </row>
    <row r="7" customFormat="false" ht="15" hidden="false" customHeight="true" outlineLevel="0" collapsed="false">
      <c r="A7" s="9" t="s">
        <v>58</v>
      </c>
      <c r="B7" s="9" t="s">
        <v>59</v>
      </c>
      <c r="C7" s="9" t="s">
        <v>60</v>
      </c>
      <c r="D7" s="9" t="s">
        <v>61</v>
      </c>
      <c r="E7" s="10" t="n">
        <v>44936</v>
      </c>
      <c r="F7" s="10"/>
      <c r="G7" s="9" t="s">
        <v>62</v>
      </c>
      <c r="H7" s="9" t="str">
        <f aca="false">IF(F7="","Active","Terminated")</f>
        <v>Active</v>
      </c>
    </row>
    <row r="8" customFormat="false" ht="15" hidden="false" customHeight="true" outlineLevel="0" collapsed="false">
      <c r="A8" s="9" t="s">
        <v>63</v>
      </c>
      <c r="B8" s="9" t="s">
        <v>64</v>
      </c>
      <c r="C8" s="9" t="s">
        <v>65</v>
      </c>
      <c r="D8" s="9" t="s">
        <v>35</v>
      </c>
      <c r="E8" s="10" t="n">
        <v>45662</v>
      </c>
      <c r="F8" s="10" t="n">
        <v>46049</v>
      </c>
      <c r="G8" s="9" t="s">
        <v>41</v>
      </c>
      <c r="H8" s="9" t="str">
        <f aca="false">IF(F8="","Active","Terminated")</f>
        <v>Terminated</v>
      </c>
    </row>
    <row r="9" customFormat="false" ht="15" hidden="false" customHeight="true" outlineLevel="0" collapsed="false">
      <c r="A9" s="9" t="s">
        <v>66</v>
      </c>
      <c r="B9" s="9" t="s">
        <v>67</v>
      </c>
      <c r="C9" s="9" t="s">
        <v>68</v>
      </c>
      <c r="D9" s="9" t="s">
        <v>40</v>
      </c>
      <c r="E9" s="10" t="n">
        <v>44253</v>
      </c>
      <c r="F9" s="10"/>
      <c r="G9" s="9" t="s">
        <v>69</v>
      </c>
      <c r="H9" s="9" t="str">
        <f aca="false">IF(F9="","Active","Terminated")</f>
        <v>Active</v>
      </c>
    </row>
    <row r="10" customFormat="false" ht="15" hidden="false" customHeight="true" outlineLevel="0" collapsed="false">
      <c r="A10" s="9" t="s">
        <v>70</v>
      </c>
      <c r="B10" s="9" t="s">
        <v>71</v>
      </c>
      <c r="C10" s="9" t="s">
        <v>39</v>
      </c>
      <c r="D10" s="9" t="s">
        <v>49</v>
      </c>
      <c r="E10" s="10" t="n">
        <v>43792</v>
      </c>
      <c r="F10" s="10"/>
      <c r="G10" s="9" t="s">
        <v>41</v>
      </c>
      <c r="H10" s="9" t="str">
        <f aca="false">IF(F10="","Active","Terminated")</f>
        <v>Active</v>
      </c>
    </row>
    <row r="11" customFormat="false" ht="15" hidden="false" customHeight="true" outlineLevel="0" collapsed="false">
      <c r="A11" s="9" t="s">
        <v>72</v>
      </c>
      <c r="B11" s="9" t="s">
        <v>73</v>
      </c>
      <c r="C11" s="9" t="s">
        <v>68</v>
      </c>
      <c r="D11" s="9" t="s">
        <v>40</v>
      </c>
      <c r="E11" s="10" t="n">
        <v>44132</v>
      </c>
      <c r="F11" s="10"/>
      <c r="G11" s="9" t="s">
        <v>45</v>
      </c>
      <c r="H11" s="9" t="str">
        <f aca="false">IF(F11="","Active","Terminated")</f>
        <v>Active</v>
      </c>
    </row>
    <row r="12" customFormat="false" ht="15" hidden="false" customHeight="true" outlineLevel="0" collapsed="false">
      <c r="A12" s="9" t="s">
        <v>74</v>
      </c>
      <c r="B12" s="9" t="s">
        <v>75</v>
      </c>
      <c r="C12" s="9" t="s">
        <v>60</v>
      </c>
      <c r="D12" s="9" t="s">
        <v>76</v>
      </c>
      <c r="E12" s="10" t="n">
        <v>44166</v>
      </c>
      <c r="F12" s="10"/>
      <c r="G12" s="9" t="s">
        <v>45</v>
      </c>
      <c r="H12" s="9" t="str">
        <f aca="false">IF(F12="","Active","Terminated")</f>
        <v>Active</v>
      </c>
    </row>
    <row r="13" customFormat="false" ht="15" hidden="false" customHeight="true" outlineLevel="0" collapsed="false">
      <c r="A13" s="9" t="s">
        <v>77</v>
      </c>
      <c r="B13" s="9" t="s">
        <v>78</v>
      </c>
      <c r="C13" s="9" t="s">
        <v>39</v>
      </c>
      <c r="D13" s="9" t="s">
        <v>56</v>
      </c>
      <c r="E13" s="10" t="n">
        <v>45747</v>
      </c>
      <c r="F13" s="10"/>
      <c r="G13" s="9" t="s">
        <v>57</v>
      </c>
      <c r="H13" s="9" t="str">
        <f aca="false">IF(F13="","Active","Terminated")</f>
        <v>Active</v>
      </c>
    </row>
    <row r="14" customFormat="false" ht="15" hidden="false" customHeight="true" outlineLevel="0" collapsed="false">
      <c r="A14" s="9" t="s">
        <v>79</v>
      </c>
      <c r="B14" s="9" t="s">
        <v>80</v>
      </c>
      <c r="C14" s="9" t="s">
        <v>81</v>
      </c>
      <c r="D14" s="9" t="s">
        <v>76</v>
      </c>
      <c r="E14" s="10" t="n">
        <v>44758</v>
      </c>
      <c r="F14" s="10"/>
      <c r="G14" s="9" t="s">
        <v>41</v>
      </c>
      <c r="H14" s="9" t="str">
        <f aca="false">IF(F14="","Active","Terminated")</f>
        <v>Active</v>
      </c>
    </row>
    <row r="15" customFormat="false" ht="15" hidden="false" customHeight="true" outlineLevel="0" collapsed="false">
      <c r="A15" s="9" t="s">
        <v>82</v>
      </c>
      <c r="B15" s="9" t="s">
        <v>83</v>
      </c>
      <c r="C15" s="9" t="s">
        <v>68</v>
      </c>
      <c r="D15" s="9" t="s">
        <v>40</v>
      </c>
      <c r="E15" s="10" t="n">
        <v>44336</v>
      </c>
      <c r="F15" s="10"/>
      <c r="G15" s="9" t="s">
        <v>84</v>
      </c>
      <c r="H15" s="9" t="str">
        <f aca="false">IF(F15="","Active","Terminated")</f>
        <v>Active</v>
      </c>
    </row>
    <row r="16" customFormat="false" ht="15" hidden="false" customHeight="true" outlineLevel="0" collapsed="false">
      <c r="A16" s="9" t="s">
        <v>85</v>
      </c>
      <c r="B16" s="9" t="s">
        <v>86</v>
      </c>
      <c r="C16" s="9" t="s">
        <v>39</v>
      </c>
      <c r="D16" s="9" t="s">
        <v>35</v>
      </c>
      <c r="E16" s="10" t="n">
        <v>44037</v>
      </c>
      <c r="F16" s="10"/>
      <c r="G16" s="9" t="s">
        <v>50</v>
      </c>
      <c r="H16" s="9" t="str">
        <f aca="false">IF(F16="","Active","Terminated")</f>
        <v>Active</v>
      </c>
    </row>
    <row r="17" customFormat="false" ht="15" hidden="false" customHeight="true" outlineLevel="0" collapsed="false">
      <c r="A17" s="9" t="s">
        <v>87</v>
      </c>
      <c r="B17" s="9" t="s">
        <v>88</v>
      </c>
      <c r="C17" s="9" t="s">
        <v>44</v>
      </c>
      <c r="D17" s="9" t="s">
        <v>35</v>
      </c>
      <c r="E17" s="10" t="n">
        <v>45101</v>
      </c>
      <c r="F17" s="10"/>
      <c r="G17" s="9" t="s">
        <v>53</v>
      </c>
      <c r="H17" s="9" t="str">
        <f aca="false">IF(F17="","Active","Terminated")</f>
        <v>Active</v>
      </c>
    </row>
    <row r="18" customFormat="false" ht="15" hidden="false" customHeight="true" outlineLevel="0" collapsed="false">
      <c r="A18" s="9" t="s">
        <v>89</v>
      </c>
      <c r="B18" s="9" t="s">
        <v>90</v>
      </c>
      <c r="C18" s="9" t="s">
        <v>81</v>
      </c>
      <c r="D18" s="9" t="s">
        <v>35</v>
      </c>
      <c r="E18" s="10" t="n">
        <v>43915</v>
      </c>
      <c r="F18" s="10" t="n">
        <v>45821</v>
      </c>
      <c r="G18" s="9" t="s">
        <v>84</v>
      </c>
      <c r="H18" s="9" t="str">
        <f aca="false">IF(F18="","Active","Terminated")</f>
        <v>Terminated</v>
      </c>
    </row>
    <row r="19" customFormat="false" ht="15" hidden="false" customHeight="true" outlineLevel="0" collapsed="false">
      <c r="A19" s="9" t="s">
        <v>91</v>
      </c>
      <c r="B19" s="9" t="s">
        <v>92</v>
      </c>
      <c r="C19" s="9" t="s">
        <v>44</v>
      </c>
      <c r="D19" s="9" t="s">
        <v>56</v>
      </c>
      <c r="E19" s="10" t="n">
        <v>45383</v>
      </c>
      <c r="F19" s="10"/>
      <c r="G19" s="9" t="s">
        <v>50</v>
      </c>
      <c r="H19" s="9" t="str">
        <f aca="false">IF(F19="","Active","Terminated")</f>
        <v>Active</v>
      </c>
    </row>
    <row r="20" customFormat="false" ht="15" hidden="false" customHeight="true" outlineLevel="0" collapsed="false">
      <c r="A20" s="9" t="s">
        <v>93</v>
      </c>
      <c r="B20" s="9" t="s">
        <v>94</v>
      </c>
      <c r="C20" s="9" t="s">
        <v>48</v>
      </c>
      <c r="D20" s="9" t="s">
        <v>56</v>
      </c>
      <c r="E20" s="10" t="n">
        <v>44558</v>
      </c>
      <c r="F20" s="10"/>
      <c r="G20" s="9" t="s">
        <v>57</v>
      </c>
      <c r="H20" s="9" t="str">
        <f aca="false">IF(F20="","Active","Terminated")</f>
        <v>Active</v>
      </c>
    </row>
    <row r="21" customFormat="false" ht="15" hidden="false" customHeight="true" outlineLevel="0" collapsed="false">
      <c r="A21" s="9" t="s">
        <v>95</v>
      </c>
      <c r="B21" s="9" t="s">
        <v>96</v>
      </c>
      <c r="C21" s="9" t="s">
        <v>97</v>
      </c>
      <c r="D21" s="9" t="s">
        <v>76</v>
      </c>
      <c r="E21" s="10" t="n">
        <v>45324</v>
      </c>
      <c r="F21" s="10" t="n">
        <v>45927</v>
      </c>
      <c r="G21" s="9" t="s">
        <v>50</v>
      </c>
      <c r="H21" s="9" t="str">
        <f aca="false">IF(F21="","Active","Terminated")</f>
        <v>Terminated</v>
      </c>
    </row>
    <row r="22" customFormat="false" ht="15" hidden="false" customHeight="true" outlineLevel="0" collapsed="false">
      <c r="A22" s="9" t="s">
        <v>98</v>
      </c>
      <c r="B22" s="9" t="s">
        <v>99</v>
      </c>
      <c r="C22" s="9" t="s">
        <v>60</v>
      </c>
      <c r="D22" s="9" t="s">
        <v>35</v>
      </c>
      <c r="E22" s="10" t="n">
        <v>44688</v>
      </c>
      <c r="F22" s="10"/>
      <c r="G22" s="9" t="s">
        <v>50</v>
      </c>
      <c r="H22" s="9" t="str">
        <f aca="false">IF(F22="","Active","Terminated")</f>
        <v>Active</v>
      </c>
    </row>
    <row r="23" customFormat="false" ht="15" hidden="false" customHeight="true" outlineLevel="0" collapsed="false">
      <c r="A23" s="9" t="s">
        <v>100</v>
      </c>
      <c r="B23" s="9" t="s">
        <v>101</v>
      </c>
      <c r="C23" s="9" t="s">
        <v>68</v>
      </c>
      <c r="D23" s="9" t="s">
        <v>56</v>
      </c>
      <c r="E23" s="10" t="n">
        <v>44127</v>
      </c>
      <c r="F23" s="10"/>
      <c r="G23" s="9" t="s">
        <v>50</v>
      </c>
      <c r="H23" s="9" t="str">
        <f aca="false">IF(F23="","Active","Terminated")</f>
        <v>Active</v>
      </c>
    </row>
    <row r="24" customFormat="false" ht="15" hidden="false" customHeight="true" outlineLevel="0" collapsed="false">
      <c r="A24" s="9" t="s">
        <v>102</v>
      </c>
      <c r="B24" s="9" t="s">
        <v>103</v>
      </c>
      <c r="C24" s="9" t="s">
        <v>65</v>
      </c>
      <c r="D24" s="9" t="s">
        <v>76</v>
      </c>
      <c r="E24" s="10" t="n">
        <v>43545</v>
      </c>
      <c r="F24" s="10" t="n">
        <v>46029</v>
      </c>
      <c r="G24" s="9" t="s">
        <v>104</v>
      </c>
      <c r="H24" s="9" t="str">
        <f aca="false">IF(F24="","Active","Terminated")</f>
        <v>Terminated</v>
      </c>
    </row>
    <row r="25" customFormat="false" ht="15" hidden="false" customHeight="true" outlineLevel="0" collapsed="false">
      <c r="A25" s="9" t="s">
        <v>105</v>
      </c>
      <c r="B25" s="9" t="s">
        <v>106</v>
      </c>
      <c r="C25" s="9" t="s">
        <v>60</v>
      </c>
      <c r="D25" s="9" t="s">
        <v>35</v>
      </c>
      <c r="E25" s="10" t="n">
        <v>43816</v>
      </c>
      <c r="F25" s="10"/>
      <c r="G25" s="9" t="s">
        <v>41</v>
      </c>
      <c r="H25" s="9" t="str">
        <f aca="false">IF(F25="","Active","Terminated")</f>
        <v>Active</v>
      </c>
    </row>
    <row r="26" customFormat="false" ht="15" hidden="false" customHeight="true" outlineLevel="0" collapsed="false">
      <c r="A26" s="9" t="s">
        <v>107</v>
      </c>
      <c r="B26" s="9" t="s">
        <v>108</v>
      </c>
      <c r="C26" s="9" t="s">
        <v>65</v>
      </c>
      <c r="D26" s="9" t="s">
        <v>49</v>
      </c>
      <c r="E26" s="10" t="n">
        <v>45717</v>
      </c>
      <c r="F26" s="10" t="n">
        <v>46257</v>
      </c>
      <c r="G26" s="9" t="s">
        <v>62</v>
      </c>
      <c r="H26" s="9" t="str">
        <f aca="false">IF(F26="","Active","Terminated")</f>
        <v>Terminated</v>
      </c>
    </row>
    <row r="27" customFormat="false" ht="15" hidden="false" customHeight="true" outlineLevel="0" collapsed="false">
      <c r="A27" s="9" t="s">
        <v>109</v>
      </c>
      <c r="B27" s="9" t="s">
        <v>110</v>
      </c>
      <c r="C27" s="9" t="s">
        <v>48</v>
      </c>
      <c r="D27" s="9" t="s">
        <v>40</v>
      </c>
      <c r="E27" s="10" t="n">
        <v>44289</v>
      </c>
      <c r="F27" s="10"/>
      <c r="G27" s="9" t="s">
        <v>84</v>
      </c>
      <c r="H27" s="9" t="str">
        <f aca="false">IF(F27="","Active","Terminated")</f>
        <v>Active</v>
      </c>
    </row>
    <row r="28" customFormat="false" ht="15" hidden="false" customHeight="true" outlineLevel="0" collapsed="false">
      <c r="A28" s="9" t="s">
        <v>111</v>
      </c>
      <c r="B28" s="9" t="s">
        <v>112</v>
      </c>
      <c r="C28" s="9" t="s">
        <v>48</v>
      </c>
      <c r="D28" s="9" t="s">
        <v>61</v>
      </c>
      <c r="E28" s="10" t="n">
        <v>45315</v>
      </c>
      <c r="F28" s="10" t="n">
        <v>45888</v>
      </c>
      <c r="G28" s="9" t="s">
        <v>41</v>
      </c>
      <c r="H28" s="9" t="str">
        <f aca="false">IF(F28="","Active","Terminated")</f>
        <v>Terminated</v>
      </c>
    </row>
    <row r="29" customFormat="false" ht="15" hidden="false" customHeight="true" outlineLevel="0" collapsed="false">
      <c r="A29" s="9" t="s">
        <v>113</v>
      </c>
      <c r="B29" s="9" t="s">
        <v>114</v>
      </c>
      <c r="C29" s="9" t="s">
        <v>48</v>
      </c>
      <c r="D29" s="9" t="s">
        <v>56</v>
      </c>
      <c r="E29" s="10" t="n">
        <v>44408</v>
      </c>
      <c r="F29" s="10"/>
      <c r="G29" s="9" t="s">
        <v>69</v>
      </c>
      <c r="H29" s="9" t="str">
        <f aca="false">IF(F29="","Active","Terminated")</f>
        <v>Active</v>
      </c>
    </row>
    <row r="30" customFormat="false" ht="15" hidden="false" customHeight="true" outlineLevel="0" collapsed="false">
      <c r="A30" s="9" t="s">
        <v>115</v>
      </c>
      <c r="B30" s="9" t="s">
        <v>116</v>
      </c>
      <c r="C30" s="9" t="s">
        <v>81</v>
      </c>
      <c r="D30" s="9" t="s">
        <v>40</v>
      </c>
      <c r="E30" s="10" t="n">
        <v>44819</v>
      </c>
      <c r="F30" s="10" t="n">
        <v>45901</v>
      </c>
      <c r="G30" s="9" t="s">
        <v>104</v>
      </c>
      <c r="H30" s="9" t="str">
        <f aca="false">IF(F30="","Active","Terminated")</f>
        <v>Terminated</v>
      </c>
    </row>
    <row r="31" customFormat="false" ht="15" hidden="false" customHeight="true" outlineLevel="0" collapsed="false">
      <c r="A31" s="9" t="s">
        <v>117</v>
      </c>
      <c r="B31" s="9" t="s">
        <v>118</v>
      </c>
      <c r="C31" s="9" t="s">
        <v>48</v>
      </c>
      <c r="D31" s="9" t="s">
        <v>35</v>
      </c>
      <c r="E31" s="10" t="n">
        <v>44007</v>
      </c>
      <c r="F31" s="10"/>
      <c r="G31" s="9" t="s">
        <v>62</v>
      </c>
      <c r="H31" s="9" t="str">
        <f aca="false">IF(F31="","Active","Terminated")</f>
        <v>Active</v>
      </c>
    </row>
    <row r="32" customFormat="false" ht="15" hidden="false" customHeight="true" outlineLevel="0" collapsed="false">
      <c r="A32" s="9" t="s">
        <v>119</v>
      </c>
      <c r="B32" s="9" t="s">
        <v>120</v>
      </c>
      <c r="C32" s="9" t="s">
        <v>65</v>
      </c>
      <c r="D32" s="9" t="s">
        <v>40</v>
      </c>
      <c r="E32" s="10" t="n">
        <v>45133</v>
      </c>
      <c r="F32" s="10"/>
      <c r="G32" s="9" t="s">
        <v>41</v>
      </c>
      <c r="H32" s="9" t="str">
        <f aca="false">IF(F32="","Active","Terminated")</f>
        <v>Active</v>
      </c>
    </row>
    <row r="33" customFormat="false" ht="15" hidden="false" customHeight="true" outlineLevel="0" collapsed="false">
      <c r="A33" s="9" t="s">
        <v>121</v>
      </c>
      <c r="B33" s="9" t="s">
        <v>122</v>
      </c>
      <c r="C33" s="9" t="s">
        <v>44</v>
      </c>
      <c r="D33" s="9" t="s">
        <v>40</v>
      </c>
      <c r="E33" s="10" t="n">
        <v>45149</v>
      </c>
      <c r="F33" s="10"/>
      <c r="G33" s="9" t="s">
        <v>69</v>
      </c>
      <c r="H33" s="9" t="str">
        <f aca="false">IF(F33="","Active","Terminated")</f>
        <v>Active</v>
      </c>
    </row>
    <row r="34" customFormat="false" ht="15" hidden="false" customHeight="true" outlineLevel="0" collapsed="false">
      <c r="A34" s="9" t="s">
        <v>123</v>
      </c>
      <c r="B34" s="9" t="s">
        <v>124</v>
      </c>
      <c r="C34" s="9" t="s">
        <v>44</v>
      </c>
      <c r="D34" s="9" t="s">
        <v>76</v>
      </c>
      <c r="E34" s="10" t="n">
        <v>44855</v>
      </c>
      <c r="F34" s="10"/>
      <c r="G34" s="9" t="s">
        <v>41</v>
      </c>
      <c r="H34" s="9" t="str">
        <f aca="false">IF(F34="","Active","Terminated")</f>
        <v>Active</v>
      </c>
    </row>
    <row r="35" customFormat="false" ht="15" hidden="false" customHeight="true" outlineLevel="0" collapsed="false">
      <c r="A35" s="9" t="s">
        <v>125</v>
      </c>
      <c r="B35" s="9" t="s">
        <v>126</v>
      </c>
      <c r="C35" s="9" t="s">
        <v>48</v>
      </c>
      <c r="D35" s="9" t="s">
        <v>49</v>
      </c>
      <c r="E35" s="10" t="n">
        <v>45303</v>
      </c>
      <c r="F35" s="10" t="n">
        <v>45845</v>
      </c>
      <c r="G35" s="9" t="s">
        <v>104</v>
      </c>
      <c r="H35" s="9" t="str">
        <f aca="false">IF(F35="","Active","Terminated")</f>
        <v>Terminated</v>
      </c>
    </row>
    <row r="36" customFormat="false" ht="15" hidden="false" customHeight="true" outlineLevel="0" collapsed="false">
      <c r="A36" s="9" t="s">
        <v>127</v>
      </c>
      <c r="B36" s="9" t="s">
        <v>128</v>
      </c>
      <c r="C36" s="9" t="s">
        <v>60</v>
      </c>
      <c r="D36" s="9" t="s">
        <v>56</v>
      </c>
      <c r="E36" s="10" t="n">
        <v>45281</v>
      </c>
      <c r="F36" s="10"/>
      <c r="G36" s="9" t="s">
        <v>50</v>
      </c>
      <c r="H36" s="9" t="str">
        <f aca="false">IF(F36="","Active","Terminated")</f>
        <v>Active</v>
      </c>
    </row>
    <row r="37" customFormat="false" ht="15" hidden="false" customHeight="true" outlineLevel="0" collapsed="false">
      <c r="A37" s="9" t="s">
        <v>129</v>
      </c>
      <c r="B37" s="9" t="s">
        <v>130</v>
      </c>
      <c r="C37" s="9" t="s">
        <v>48</v>
      </c>
      <c r="D37" s="9" t="s">
        <v>76</v>
      </c>
      <c r="E37" s="10" t="n">
        <v>43526</v>
      </c>
      <c r="F37" s="10"/>
      <c r="G37" s="9" t="s">
        <v>45</v>
      </c>
      <c r="H37" s="9" t="str">
        <f aca="false">IF(F37="","Active","Terminated")</f>
        <v>Active</v>
      </c>
    </row>
    <row r="38" customFormat="false" ht="15" hidden="false" customHeight="true" outlineLevel="0" collapsed="false">
      <c r="A38" s="9" t="s">
        <v>131</v>
      </c>
      <c r="B38" s="9" t="s">
        <v>132</v>
      </c>
      <c r="C38" s="9" t="s">
        <v>65</v>
      </c>
      <c r="D38" s="9" t="s">
        <v>76</v>
      </c>
      <c r="E38" s="10" t="n">
        <v>44341</v>
      </c>
      <c r="F38" s="10"/>
      <c r="G38" s="9" t="s">
        <v>69</v>
      </c>
      <c r="H38" s="9" t="str">
        <f aca="false">IF(F38="","Active","Terminated")</f>
        <v>Active</v>
      </c>
    </row>
    <row r="39" customFormat="false" ht="15" hidden="false" customHeight="true" outlineLevel="0" collapsed="false">
      <c r="A39" s="9" t="s">
        <v>133</v>
      </c>
      <c r="B39" s="9" t="s">
        <v>134</v>
      </c>
      <c r="C39" s="9" t="s">
        <v>44</v>
      </c>
      <c r="D39" s="9" t="s">
        <v>61</v>
      </c>
      <c r="E39" s="10" t="n">
        <v>44552</v>
      </c>
      <c r="F39" s="10"/>
      <c r="G39" s="9" t="s">
        <v>135</v>
      </c>
      <c r="H39" s="9" t="str">
        <f aca="false">IF(F39="","Active","Terminated")</f>
        <v>Active</v>
      </c>
    </row>
    <row r="40" customFormat="false" ht="15" hidden="false" customHeight="true" outlineLevel="0" collapsed="false">
      <c r="A40" s="9" t="s">
        <v>136</v>
      </c>
      <c r="B40" s="9" t="s">
        <v>137</v>
      </c>
      <c r="C40" s="9" t="s">
        <v>48</v>
      </c>
      <c r="D40" s="9" t="s">
        <v>56</v>
      </c>
      <c r="E40" s="10" t="n">
        <v>45459</v>
      </c>
      <c r="F40" s="10" t="n">
        <v>45961</v>
      </c>
      <c r="G40" s="9" t="s">
        <v>45</v>
      </c>
      <c r="H40" s="9" t="str">
        <f aca="false">IF(F40="","Active","Terminated")</f>
        <v>Terminated</v>
      </c>
    </row>
    <row r="41" customFormat="false" ht="15" hidden="false" customHeight="true" outlineLevel="0" collapsed="false">
      <c r="A41" s="9" t="s">
        <v>138</v>
      </c>
      <c r="B41" s="9" t="s">
        <v>139</v>
      </c>
      <c r="C41" s="9" t="s">
        <v>48</v>
      </c>
      <c r="D41" s="9" t="s">
        <v>56</v>
      </c>
      <c r="E41" s="10" t="n">
        <v>43715</v>
      </c>
      <c r="F41" s="10"/>
      <c r="G41" s="9" t="s">
        <v>69</v>
      </c>
      <c r="H41" s="9" t="str">
        <f aca="false">IF(F41="","Active","Terminated")</f>
        <v>Active</v>
      </c>
    </row>
    <row r="42" customFormat="false" ht="15" hidden="false" customHeight="true" outlineLevel="0" collapsed="false">
      <c r="A42" s="9" t="s">
        <v>140</v>
      </c>
      <c r="B42" s="9" t="s">
        <v>141</v>
      </c>
      <c r="C42" s="9" t="s">
        <v>48</v>
      </c>
      <c r="D42" s="9" t="s">
        <v>76</v>
      </c>
      <c r="E42" s="10" t="n">
        <v>45641</v>
      </c>
      <c r="F42" s="10" t="n">
        <v>46178</v>
      </c>
      <c r="G42" s="9" t="s">
        <v>41</v>
      </c>
      <c r="H42" s="9" t="str">
        <f aca="false">IF(F42="","Active","Terminated")</f>
        <v>Terminated</v>
      </c>
    </row>
    <row r="43" customFormat="false" ht="15" hidden="false" customHeight="true" outlineLevel="0" collapsed="false">
      <c r="A43" s="9" t="s">
        <v>142</v>
      </c>
      <c r="B43" s="9" t="s">
        <v>143</v>
      </c>
      <c r="C43" s="9" t="s">
        <v>60</v>
      </c>
      <c r="D43" s="9" t="s">
        <v>76</v>
      </c>
      <c r="E43" s="10" t="n">
        <v>44429</v>
      </c>
      <c r="F43" s="10"/>
      <c r="G43" s="9" t="s">
        <v>62</v>
      </c>
      <c r="H43" s="9" t="str">
        <f aca="false">IF(F43="","Active","Terminated")</f>
        <v>Active</v>
      </c>
    </row>
    <row r="44" customFormat="false" ht="15" hidden="false" customHeight="true" outlineLevel="0" collapsed="false">
      <c r="A44" s="9" t="s">
        <v>144</v>
      </c>
      <c r="B44" s="9" t="s">
        <v>145</v>
      </c>
      <c r="C44" s="9" t="s">
        <v>81</v>
      </c>
      <c r="D44" s="9" t="s">
        <v>35</v>
      </c>
      <c r="E44" s="10" t="n">
        <v>43801</v>
      </c>
      <c r="F44" s="10"/>
      <c r="G44" s="9" t="s">
        <v>62</v>
      </c>
      <c r="H44" s="9" t="str">
        <f aca="false">IF(F44="","Active","Terminated")</f>
        <v>Active</v>
      </c>
    </row>
    <row r="45" customFormat="false" ht="15" hidden="false" customHeight="true" outlineLevel="0" collapsed="false">
      <c r="A45" s="9" t="s">
        <v>146</v>
      </c>
      <c r="B45" s="9" t="s">
        <v>147</v>
      </c>
      <c r="C45" s="9" t="s">
        <v>39</v>
      </c>
      <c r="D45" s="9" t="s">
        <v>76</v>
      </c>
      <c r="E45" s="10" t="n">
        <v>44302</v>
      </c>
      <c r="F45" s="10"/>
      <c r="G45" s="9" t="s">
        <v>57</v>
      </c>
      <c r="H45" s="9" t="str">
        <f aca="false">IF(F45="","Active","Terminated")</f>
        <v>Active</v>
      </c>
    </row>
    <row r="46" customFormat="false" ht="15" hidden="false" customHeight="true" outlineLevel="0" collapsed="false">
      <c r="A46" s="9" t="s">
        <v>148</v>
      </c>
      <c r="B46" s="9" t="s">
        <v>149</v>
      </c>
      <c r="C46" s="9" t="s">
        <v>97</v>
      </c>
      <c r="D46" s="9" t="s">
        <v>56</v>
      </c>
      <c r="E46" s="10" t="n">
        <v>44694</v>
      </c>
      <c r="F46" s="10"/>
      <c r="G46" s="9" t="s">
        <v>41</v>
      </c>
      <c r="H46" s="9" t="str">
        <f aca="false">IF(F46="","Active","Terminated")</f>
        <v>Active</v>
      </c>
    </row>
    <row r="47" customFormat="false" ht="15" hidden="false" customHeight="true" outlineLevel="0" collapsed="false">
      <c r="A47" s="9" t="s">
        <v>150</v>
      </c>
      <c r="B47" s="9" t="s">
        <v>151</v>
      </c>
      <c r="C47" s="9" t="s">
        <v>60</v>
      </c>
      <c r="D47" s="9" t="s">
        <v>61</v>
      </c>
      <c r="E47" s="10" t="n">
        <v>43766</v>
      </c>
      <c r="F47" s="10"/>
      <c r="G47" s="9" t="s">
        <v>50</v>
      </c>
      <c r="H47" s="9" t="str">
        <f aca="false">IF(F47="","Active","Terminated")</f>
        <v>Active</v>
      </c>
    </row>
    <row r="48" customFormat="false" ht="15" hidden="false" customHeight="true" outlineLevel="0" collapsed="false">
      <c r="A48" s="9" t="s">
        <v>152</v>
      </c>
      <c r="B48" s="9" t="s">
        <v>153</v>
      </c>
      <c r="C48" s="9" t="s">
        <v>68</v>
      </c>
      <c r="D48" s="9" t="s">
        <v>61</v>
      </c>
      <c r="E48" s="10" t="n">
        <v>43747</v>
      </c>
      <c r="F48" s="10"/>
      <c r="G48" s="9" t="s">
        <v>57</v>
      </c>
      <c r="H48" s="9" t="str">
        <f aca="false">IF(F48="","Active","Terminated")</f>
        <v>Active</v>
      </c>
    </row>
    <row r="49" customFormat="false" ht="15" hidden="false" customHeight="true" outlineLevel="0" collapsed="false">
      <c r="A49" s="9" t="s">
        <v>154</v>
      </c>
      <c r="B49" s="9" t="s">
        <v>155</v>
      </c>
      <c r="C49" s="9" t="s">
        <v>48</v>
      </c>
      <c r="D49" s="9" t="s">
        <v>56</v>
      </c>
      <c r="E49" s="10" t="n">
        <v>44705</v>
      </c>
      <c r="F49" s="10"/>
      <c r="G49" s="9" t="s">
        <v>50</v>
      </c>
      <c r="H49" s="9" t="str">
        <f aca="false">IF(F49="","Active","Terminated")</f>
        <v>Active</v>
      </c>
    </row>
    <row r="50" customFormat="false" ht="15" hidden="false" customHeight="true" outlineLevel="0" collapsed="false">
      <c r="A50" s="9" t="s">
        <v>156</v>
      </c>
      <c r="B50" s="9" t="s">
        <v>157</v>
      </c>
      <c r="C50" s="9" t="s">
        <v>60</v>
      </c>
      <c r="D50" s="9" t="s">
        <v>40</v>
      </c>
      <c r="E50" s="10" t="n">
        <v>44016</v>
      </c>
      <c r="F50" s="10"/>
      <c r="G50" s="9" t="s">
        <v>41</v>
      </c>
      <c r="H50" s="9" t="str">
        <f aca="false">IF(F50="","Active","Terminated")</f>
        <v>Active</v>
      </c>
    </row>
    <row r="51" customFormat="false" ht="15" hidden="false" customHeight="true" outlineLevel="0" collapsed="false">
      <c r="A51" s="9" t="s">
        <v>158</v>
      </c>
      <c r="B51" s="9" t="s">
        <v>159</v>
      </c>
      <c r="C51" s="9" t="s">
        <v>39</v>
      </c>
      <c r="D51" s="9" t="s">
        <v>76</v>
      </c>
      <c r="E51" s="10" t="n">
        <v>44620</v>
      </c>
      <c r="F51" s="10"/>
      <c r="G51" s="9" t="s">
        <v>57</v>
      </c>
      <c r="H51" s="9" t="str">
        <f aca="false">IF(F51="","Active","Terminated")</f>
        <v>Active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26"/>
    <col collapsed="false" customWidth="true" hidden="false" outlineLevel="0" max="4" min="4" style="1" width="10"/>
    <col collapsed="false" customWidth="true" hidden="false" outlineLevel="0" max="5" min="5" style="1" width="26"/>
    <col collapsed="false" customWidth="true" hidden="false" outlineLevel="0" max="6" min="6" style="1" width="55"/>
  </cols>
  <sheetData>
    <row r="1" customFormat="false" ht="15" hidden="false" customHeight="true" outlineLevel="0" collapsed="false">
      <c r="A1" s="8" t="s">
        <v>160</v>
      </c>
      <c r="B1" s="8" t="s">
        <v>161</v>
      </c>
      <c r="C1" s="8" t="s">
        <v>162</v>
      </c>
      <c r="D1" s="8" t="s">
        <v>163</v>
      </c>
      <c r="E1" s="8" t="s">
        <v>164</v>
      </c>
      <c r="F1" s="8" t="s">
        <v>165</v>
      </c>
    </row>
    <row r="2" customFormat="false" ht="30" hidden="false" customHeight="true" outlineLevel="0" collapsed="false">
      <c r="A2" s="9" t="s">
        <v>166</v>
      </c>
      <c r="B2" s="9" t="s">
        <v>167</v>
      </c>
      <c r="C2" s="9" t="s">
        <v>168</v>
      </c>
      <c r="D2" s="9" t="s">
        <v>169</v>
      </c>
      <c r="E2" s="9" t="s">
        <v>170</v>
      </c>
      <c r="F2" s="11" t="s">
        <v>171</v>
      </c>
    </row>
    <row r="3" customFormat="false" ht="30" hidden="false" customHeight="true" outlineLevel="0" collapsed="false">
      <c r="A3" s="9" t="s">
        <v>172</v>
      </c>
      <c r="B3" s="9" t="s">
        <v>173</v>
      </c>
      <c r="C3" s="9" t="s">
        <v>174</v>
      </c>
      <c r="D3" s="9" t="s">
        <v>169</v>
      </c>
      <c r="E3" s="9" t="s">
        <v>170</v>
      </c>
      <c r="F3" s="11" t="s">
        <v>175</v>
      </c>
    </row>
    <row r="4" customFormat="false" ht="30" hidden="false" customHeight="true" outlineLevel="0" collapsed="false">
      <c r="A4" s="9" t="s">
        <v>176</v>
      </c>
      <c r="B4" s="9" t="s">
        <v>177</v>
      </c>
      <c r="C4" s="9" t="s">
        <v>178</v>
      </c>
      <c r="D4" s="9" t="s">
        <v>179</v>
      </c>
      <c r="E4" s="9" t="s">
        <v>180</v>
      </c>
      <c r="F4" s="11" t="s">
        <v>181</v>
      </c>
    </row>
    <row r="5" customFormat="false" ht="30" hidden="false" customHeight="true" outlineLevel="0" collapsed="false">
      <c r="A5" s="9" t="s">
        <v>182</v>
      </c>
      <c r="B5" s="9" t="s">
        <v>183</v>
      </c>
      <c r="C5" s="9" t="s">
        <v>184</v>
      </c>
      <c r="D5" s="9" t="s">
        <v>185</v>
      </c>
      <c r="E5" s="9" t="s">
        <v>186</v>
      </c>
      <c r="F5" s="11" t="s">
        <v>187</v>
      </c>
    </row>
    <row r="6" customFormat="false" ht="30" hidden="false" customHeight="true" outlineLevel="0" collapsed="false">
      <c r="A6" s="9" t="s">
        <v>188</v>
      </c>
      <c r="B6" s="9" t="s">
        <v>189</v>
      </c>
      <c r="C6" s="9" t="s">
        <v>190</v>
      </c>
      <c r="D6" s="9" t="s">
        <v>191</v>
      </c>
      <c r="E6" s="9" t="s">
        <v>192</v>
      </c>
      <c r="F6" s="11" t="s">
        <v>193</v>
      </c>
    </row>
    <row r="7" customFormat="false" ht="30" hidden="false" customHeight="true" outlineLevel="0" collapsed="false">
      <c r="A7" s="9" t="s">
        <v>194</v>
      </c>
      <c r="B7" s="9" t="s">
        <v>195</v>
      </c>
      <c r="C7" s="9" t="s">
        <v>196</v>
      </c>
      <c r="D7" s="9" t="s">
        <v>197</v>
      </c>
      <c r="E7" s="9" t="s">
        <v>198</v>
      </c>
      <c r="F7" s="11"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false"/>
  </sheetPr>
  <dimension ref="A1:M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18"/>
    <col collapsed="false" customWidth="true" hidden="false" outlineLevel="0" max="4" min="4" style="1" width="16"/>
    <col collapsed="false" customWidth="true" hidden="false" outlineLevel="0" max="5" min="5" style="1" width="10"/>
    <col collapsed="false" customWidth="true" hidden="false" outlineLevel="0" max="6" min="6" style="1" width="8"/>
    <col collapsed="false" customWidth="true" hidden="false" outlineLevel="0" max="7" min="7" style="1" width="26"/>
    <col collapsed="false" customWidth="true" hidden="false" outlineLevel="0" max="8" min="8" style="1" width="10"/>
    <col collapsed="false" customWidth="true" hidden="false" outlineLevel="0" max="9" min="9" style="1" width="12"/>
    <col collapsed="false" customWidth="true" hidden="false" outlineLevel="0" max="10" min="10" style="1" width="20"/>
    <col collapsed="false" customWidth="true" hidden="false" outlineLevel="0" max="11" min="11" style="1" width="14"/>
    <col collapsed="false" customWidth="true" hidden="false" outlineLevel="0" max="12" min="12" style="1" width="10"/>
    <col collapsed="false" customWidth="true" hidden="false" outlineLevel="0" max="13" min="13" style="1" width="12"/>
  </cols>
  <sheetData>
    <row r="1" customFormat="false" ht="23.25" hidden="false" customHeight="true" outlineLevel="0" collapsed="false">
      <c r="A1" s="8" t="s">
        <v>200</v>
      </c>
      <c r="B1" s="8" t="s">
        <v>29</v>
      </c>
      <c r="C1" s="8" t="s">
        <v>201</v>
      </c>
      <c r="D1" s="8" t="s">
        <v>31</v>
      </c>
      <c r="E1" s="8" t="s">
        <v>202</v>
      </c>
      <c r="F1" s="8" t="s">
        <v>203</v>
      </c>
      <c r="G1" s="8" t="s">
        <v>204</v>
      </c>
      <c r="H1" s="8" t="s">
        <v>205</v>
      </c>
      <c r="I1" s="8" t="s">
        <v>206</v>
      </c>
      <c r="J1" s="8" t="s">
        <v>207</v>
      </c>
      <c r="K1" s="8" t="s">
        <v>208</v>
      </c>
      <c r="L1" s="8" t="s">
        <v>209</v>
      </c>
      <c r="M1" s="8" t="s">
        <v>210</v>
      </c>
    </row>
    <row r="2" customFormat="false" ht="15" hidden="false" customHeight="true" outlineLevel="0" collapsed="false">
      <c r="A2" s="9" t="s">
        <v>211</v>
      </c>
      <c r="B2" s="9" t="s">
        <v>37</v>
      </c>
      <c r="C2" s="9" t="s">
        <v>38</v>
      </c>
      <c r="D2" s="9" t="s">
        <v>39</v>
      </c>
      <c r="E2" s="9" t="s">
        <v>212</v>
      </c>
      <c r="F2" s="9" t="s">
        <v>213</v>
      </c>
      <c r="G2" s="9" t="s">
        <v>214</v>
      </c>
      <c r="H2" s="9" t="s">
        <v>215</v>
      </c>
      <c r="I2" s="10" t="n">
        <v>45031</v>
      </c>
      <c r="J2" s="9" t="s">
        <v>41</v>
      </c>
      <c r="K2" s="9" t="s">
        <v>216</v>
      </c>
      <c r="L2" s="9" t="s">
        <v>217</v>
      </c>
      <c r="M2" s="10"/>
    </row>
    <row r="3" customFormat="false" ht="15" hidden="false" customHeight="true" outlineLevel="0" collapsed="false">
      <c r="A3" s="9" t="s">
        <v>218</v>
      </c>
      <c r="B3" s="9" t="s">
        <v>37</v>
      </c>
      <c r="C3" s="9" t="s">
        <v>38</v>
      </c>
      <c r="D3" s="9" t="s">
        <v>39</v>
      </c>
      <c r="E3" s="9" t="s">
        <v>219</v>
      </c>
      <c r="F3" s="9" t="s">
        <v>220</v>
      </c>
      <c r="G3" s="9" t="s">
        <v>221</v>
      </c>
      <c r="H3" s="9" t="s">
        <v>215</v>
      </c>
      <c r="I3" s="10" t="n">
        <v>44934</v>
      </c>
      <c r="J3" s="9" t="s">
        <v>57</v>
      </c>
      <c r="K3" s="9" t="s">
        <v>222</v>
      </c>
      <c r="L3" s="9" t="s">
        <v>217</v>
      </c>
      <c r="M3" s="10"/>
    </row>
    <row r="4" customFormat="false" ht="15" hidden="false" customHeight="true" outlineLevel="0" collapsed="false">
      <c r="A4" s="9" t="s">
        <v>223</v>
      </c>
      <c r="B4" s="9" t="s">
        <v>37</v>
      </c>
      <c r="C4" s="9" t="s">
        <v>38</v>
      </c>
      <c r="D4" s="9" t="s">
        <v>39</v>
      </c>
      <c r="E4" s="9" t="s">
        <v>212</v>
      </c>
      <c r="F4" s="9" t="s">
        <v>224</v>
      </c>
      <c r="G4" s="9" t="s">
        <v>225</v>
      </c>
      <c r="H4" s="9" t="s">
        <v>226</v>
      </c>
      <c r="I4" s="10" t="n">
        <v>45831</v>
      </c>
      <c r="J4" s="9" t="s">
        <v>50</v>
      </c>
      <c r="K4" s="9" t="s">
        <v>227</v>
      </c>
      <c r="L4" s="9" t="s">
        <v>217</v>
      </c>
      <c r="M4" s="10"/>
    </row>
    <row r="5" customFormat="false" ht="15" hidden="false" customHeight="true" outlineLevel="0" collapsed="false">
      <c r="A5" s="9" t="s">
        <v>228</v>
      </c>
      <c r="B5" s="9" t="s">
        <v>42</v>
      </c>
      <c r="C5" s="9" t="s">
        <v>43</v>
      </c>
      <c r="D5" s="9" t="s">
        <v>44</v>
      </c>
      <c r="E5" s="9" t="s">
        <v>212</v>
      </c>
      <c r="F5" s="9" t="s">
        <v>213</v>
      </c>
      <c r="G5" s="9" t="s">
        <v>214</v>
      </c>
      <c r="H5" s="9" t="s">
        <v>215</v>
      </c>
      <c r="I5" s="10" t="n">
        <v>44964</v>
      </c>
      <c r="J5" s="9"/>
      <c r="K5" s="9" t="s">
        <v>229</v>
      </c>
      <c r="L5" s="9" t="s">
        <v>230</v>
      </c>
      <c r="M5" s="10" t="n">
        <v>45882</v>
      </c>
    </row>
    <row r="6" customFormat="false" ht="15" hidden="false" customHeight="true" outlineLevel="0" collapsed="false">
      <c r="A6" s="9" t="s">
        <v>231</v>
      </c>
      <c r="B6" s="9" t="s">
        <v>42</v>
      </c>
      <c r="C6" s="9" t="s">
        <v>43</v>
      </c>
      <c r="D6" s="9" t="s">
        <v>44</v>
      </c>
      <c r="E6" s="9" t="s">
        <v>219</v>
      </c>
      <c r="F6" s="9" t="s">
        <v>185</v>
      </c>
      <c r="G6" s="9" t="s">
        <v>186</v>
      </c>
      <c r="H6" s="9" t="s">
        <v>226</v>
      </c>
      <c r="I6" s="10" t="n">
        <v>45018</v>
      </c>
      <c r="J6" s="9" t="s">
        <v>45</v>
      </c>
      <c r="K6" s="9" t="s">
        <v>232</v>
      </c>
      <c r="L6" s="9" t="s">
        <v>217</v>
      </c>
      <c r="M6" s="10"/>
    </row>
    <row r="7" customFormat="false" ht="15" hidden="false" customHeight="true" outlineLevel="0" collapsed="false">
      <c r="A7" s="9" t="s">
        <v>233</v>
      </c>
      <c r="B7" s="9" t="s">
        <v>42</v>
      </c>
      <c r="C7" s="9" t="s">
        <v>43</v>
      </c>
      <c r="D7" s="9" t="s">
        <v>44</v>
      </c>
      <c r="E7" s="9" t="s">
        <v>219</v>
      </c>
      <c r="F7" s="9" t="s">
        <v>183</v>
      </c>
      <c r="G7" s="9" t="s">
        <v>184</v>
      </c>
      <c r="H7" s="9" t="s">
        <v>234</v>
      </c>
      <c r="I7" s="10" t="n">
        <v>45070</v>
      </c>
      <c r="J7" s="9" t="s">
        <v>84</v>
      </c>
      <c r="K7" s="9" t="s">
        <v>235</v>
      </c>
      <c r="L7" s="9" t="s">
        <v>230</v>
      </c>
      <c r="M7" s="10" t="n">
        <v>45883</v>
      </c>
    </row>
    <row r="8" customFormat="false" ht="15" hidden="false" customHeight="true" outlineLevel="0" collapsed="false">
      <c r="A8" s="9" t="s">
        <v>236</v>
      </c>
      <c r="B8" s="9" t="s">
        <v>42</v>
      </c>
      <c r="C8" s="9" t="s">
        <v>43</v>
      </c>
      <c r="D8" s="9" t="s">
        <v>44</v>
      </c>
      <c r="E8" s="9" t="s">
        <v>219</v>
      </c>
      <c r="F8" s="9" t="s">
        <v>220</v>
      </c>
      <c r="G8" s="9" t="s">
        <v>221</v>
      </c>
      <c r="H8" s="9" t="s">
        <v>215</v>
      </c>
      <c r="I8" s="10" t="n">
        <v>44968</v>
      </c>
      <c r="J8" s="9" t="s">
        <v>53</v>
      </c>
      <c r="K8" s="9"/>
      <c r="L8" s="9" t="s">
        <v>217</v>
      </c>
      <c r="M8" s="10"/>
    </row>
    <row r="9" customFormat="false" ht="15" hidden="false" customHeight="true" outlineLevel="0" collapsed="false">
      <c r="A9" s="9" t="s">
        <v>237</v>
      </c>
      <c r="B9" s="9" t="s">
        <v>46</v>
      </c>
      <c r="C9" s="9" t="s">
        <v>47</v>
      </c>
      <c r="D9" s="9" t="s">
        <v>48</v>
      </c>
      <c r="E9" s="9" t="s">
        <v>212</v>
      </c>
      <c r="F9" s="9" t="s">
        <v>213</v>
      </c>
      <c r="G9" s="9" t="s">
        <v>214</v>
      </c>
      <c r="H9" s="9" t="s">
        <v>215</v>
      </c>
      <c r="I9" s="10" t="n">
        <v>45037</v>
      </c>
      <c r="J9" s="9" t="s">
        <v>84</v>
      </c>
      <c r="K9" s="9" t="s">
        <v>238</v>
      </c>
      <c r="L9" s="9" t="s">
        <v>217</v>
      </c>
      <c r="M9" s="10"/>
    </row>
    <row r="10" customFormat="false" ht="15" hidden="false" customHeight="true" outlineLevel="0" collapsed="false">
      <c r="A10" s="9" t="s">
        <v>239</v>
      </c>
      <c r="B10" s="9" t="s">
        <v>46</v>
      </c>
      <c r="C10" s="9" t="s">
        <v>47</v>
      </c>
      <c r="D10" s="9" t="s">
        <v>48</v>
      </c>
      <c r="E10" s="9" t="s">
        <v>240</v>
      </c>
      <c r="F10" s="9" t="s">
        <v>173</v>
      </c>
      <c r="G10" s="9" t="s">
        <v>174</v>
      </c>
      <c r="H10" s="9" t="s">
        <v>234</v>
      </c>
      <c r="I10" s="10" t="n">
        <v>45763</v>
      </c>
      <c r="J10" s="9" t="s">
        <v>135</v>
      </c>
      <c r="K10" s="9" t="s">
        <v>241</v>
      </c>
      <c r="L10" s="9" t="s">
        <v>217</v>
      </c>
      <c r="M10" s="10"/>
    </row>
    <row r="11" customFormat="false" ht="15" hidden="false" customHeight="true" outlineLevel="0" collapsed="false">
      <c r="A11" s="9" t="s">
        <v>242</v>
      </c>
      <c r="B11" s="9" t="s">
        <v>46</v>
      </c>
      <c r="C11" s="9" t="s">
        <v>47</v>
      </c>
      <c r="D11" s="9" t="s">
        <v>48</v>
      </c>
      <c r="E11" s="9" t="s">
        <v>240</v>
      </c>
      <c r="F11" s="9" t="s">
        <v>167</v>
      </c>
      <c r="G11" s="9" t="s">
        <v>168</v>
      </c>
      <c r="H11" s="9" t="s">
        <v>234</v>
      </c>
      <c r="I11" s="10" t="n">
        <v>45160</v>
      </c>
      <c r="J11" s="9" t="s">
        <v>45</v>
      </c>
      <c r="K11" s="9" t="s">
        <v>243</v>
      </c>
      <c r="L11" s="9" t="s">
        <v>217</v>
      </c>
      <c r="M11" s="10"/>
    </row>
    <row r="12" customFormat="false" ht="15" hidden="false" customHeight="true" outlineLevel="0" collapsed="false">
      <c r="A12" s="9" t="s">
        <v>244</v>
      </c>
      <c r="B12" s="9" t="s">
        <v>51</v>
      </c>
      <c r="C12" s="9" t="s">
        <v>52</v>
      </c>
      <c r="D12" s="9" t="s">
        <v>39</v>
      </c>
      <c r="E12" s="9" t="s">
        <v>212</v>
      </c>
      <c r="F12" s="9" t="s">
        <v>224</v>
      </c>
      <c r="G12" s="9" t="s">
        <v>225</v>
      </c>
      <c r="H12" s="9" t="s">
        <v>226</v>
      </c>
      <c r="I12" s="10" t="n">
        <v>44978</v>
      </c>
      <c r="J12" s="9" t="s">
        <v>245</v>
      </c>
      <c r="K12" s="9" t="s">
        <v>246</v>
      </c>
      <c r="L12" s="9" t="s">
        <v>230</v>
      </c>
      <c r="M12" s="10" t="n">
        <v>45512</v>
      </c>
    </row>
    <row r="13" customFormat="false" ht="15" hidden="false" customHeight="true" outlineLevel="0" collapsed="false">
      <c r="A13" s="9" t="s">
        <v>247</v>
      </c>
      <c r="B13" s="9" t="s">
        <v>51</v>
      </c>
      <c r="C13" s="9" t="s">
        <v>52</v>
      </c>
      <c r="D13" s="9" t="s">
        <v>39</v>
      </c>
      <c r="E13" s="9" t="s">
        <v>219</v>
      </c>
      <c r="F13" s="9" t="s">
        <v>220</v>
      </c>
      <c r="G13" s="9" t="s">
        <v>221</v>
      </c>
      <c r="H13" s="9" t="s">
        <v>215</v>
      </c>
      <c r="I13" s="10" t="n">
        <v>44949</v>
      </c>
      <c r="J13" s="9" t="s">
        <v>62</v>
      </c>
      <c r="K13" s="9"/>
      <c r="L13" s="9" t="s">
        <v>217</v>
      </c>
      <c r="M13" s="10"/>
    </row>
    <row r="14" customFormat="false" ht="15" hidden="false" customHeight="true" outlineLevel="0" collapsed="false">
      <c r="A14" s="9" t="s">
        <v>248</v>
      </c>
      <c r="B14" s="9" t="s">
        <v>51</v>
      </c>
      <c r="C14" s="9" t="s">
        <v>52</v>
      </c>
      <c r="D14" s="9" t="s">
        <v>39</v>
      </c>
      <c r="E14" s="9" t="s">
        <v>212</v>
      </c>
      <c r="F14" s="9" t="s">
        <v>213</v>
      </c>
      <c r="G14" s="9" t="s">
        <v>214</v>
      </c>
      <c r="H14" s="9" t="s">
        <v>215</v>
      </c>
      <c r="I14" s="10" t="n">
        <v>44967</v>
      </c>
      <c r="J14" s="9" t="s">
        <v>84</v>
      </c>
      <c r="K14" s="9" t="s">
        <v>249</v>
      </c>
      <c r="L14" s="9" t="s">
        <v>217</v>
      </c>
      <c r="M14" s="10"/>
    </row>
    <row r="15" customFormat="false" ht="15" hidden="false" customHeight="true" outlineLevel="0" collapsed="false">
      <c r="A15" s="9" t="s">
        <v>250</v>
      </c>
      <c r="B15" s="9" t="s">
        <v>54</v>
      </c>
      <c r="C15" s="9" t="s">
        <v>55</v>
      </c>
      <c r="D15" s="9" t="s">
        <v>39</v>
      </c>
      <c r="E15" s="9" t="s">
        <v>212</v>
      </c>
      <c r="F15" s="9" t="s">
        <v>224</v>
      </c>
      <c r="G15" s="9" t="s">
        <v>225</v>
      </c>
      <c r="H15" s="9" t="s">
        <v>226</v>
      </c>
      <c r="I15" s="10" t="n">
        <v>44928</v>
      </c>
      <c r="J15" s="9" t="s">
        <v>50</v>
      </c>
      <c r="K15" s="9" t="s">
        <v>251</v>
      </c>
      <c r="L15" s="9" t="s">
        <v>217</v>
      </c>
      <c r="M15" s="10"/>
    </row>
    <row r="16" customFormat="false" ht="15" hidden="false" customHeight="true" outlineLevel="0" collapsed="false">
      <c r="A16" s="9" t="s">
        <v>252</v>
      </c>
      <c r="B16" s="9" t="s">
        <v>54</v>
      </c>
      <c r="C16" s="9" t="s">
        <v>55</v>
      </c>
      <c r="D16" s="9" t="s">
        <v>39</v>
      </c>
      <c r="E16" s="9" t="s">
        <v>219</v>
      </c>
      <c r="F16" s="9" t="s">
        <v>220</v>
      </c>
      <c r="G16" s="9" t="s">
        <v>221</v>
      </c>
      <c r="H16" s="9" t="s">
        <v>215</v>
      </c>
      <c r="I16" s="10" t="n">
        <v>45128</v>
      </c>
      <c r="J16" s="9" t="s">
        <v>57</v>
      </c>
      <c r="K16" s="9"/>
      <c r="L16" s="9" t="s">
        <v>217</v>
      </c>
      <c r="M16" s="10"/>
    </row>
    <row r="17" customFormat="false" ht="15" hidden="false" customHeight="true" outlineLevel="0" collapsed="false">
      <c r="A17" s="9" t="s">
        <v>253</v>
      </c>
      <c r="B17" s="9" t="s">
        <v>54</v>
      </c>
      <c r="C17" s="9" t="s">
        <v>55</v>
      </c>
      <c r="D17" s="9" t="s">
        <v>39</v>
      </c>
      <c r="E17" s="9" t="s">
        <v>212</v>
      </c>
      <c r="F17" s="9" t="s">
        <v>213</v>
      </c>
      <c r="G17" s="9" t="s">
        <v>214</v>
      </c>
      <c r="H17" s="9" t="s">
        <v>215</v>
      </c>
      <c r="I17" s="10" t="n">
        <v>45248</v>
      </c>
      <c r="J17" s="9" t="s">
        <v>245</v>
      </c>
      <c r="K17" s="9" t="s">
        <v>254</v>
      </c>
      <c r="L17" s="9" t="s">
        <v>217</v>
      </c>
      <c r="M17" s="10"/>
    </row>
    <row r="18" customFormat="false" ht="15" hidden="false" customHeight="true" outlineLevel="0" collapsed="false">
      <c r="A18" s="9" t="s">
        <v>255</v>
      </c>
      <c r="B18" s="9" t="s">
        <v>58</v>
      </c>
      <c r="C18" s="9" t="s">
        <v>59</v>
      </c>
      <c r="D18" s="9" t="s">
        <v>60</v>
      </c>
      <c r="E18" s="9" t="s">
        <v>240</v>
      </c>
      <c r="F18" s="9" t="s">
        <v>173</v>
      </c>
      <c r="G18" s="9" t="s">
        <v>174</v>
      </c>
      <c r="H18" s="9" t="s">
        <v>234</v>
      </c>
      <c r="I18" s="10" t="n">
        <v>46071</v>
      </c>
      <c r="J18" s="9" t="s">
        <v>53</v>
      </c>
      <c r="K18" s="9" t="s">
        <v>256</v>
      </c>
      <c r="L18" s="9" t="s">
        <v>217</v>
      </c>
      <c r="M18" s="10"/>
    </row>
    <row r="19" customFormat="false" ht="15" hidden="false" customHeight="true" outlineLevel="0" collapsed="false">
      <c r="A19" s="9" t="s">
        <v>257</v>
      </c>
      <c r="B19" s="9" t="s">
        <v>58</v>
      </c>
      <c r="C19" s="9" t="s">
        <v>59</v>
      </c>
      <c r="D19" s="9" t="s">
        <v>60</v>
      </c>
      <c r="E19" s="9" t="s">
        <v>219</v>
      </c>
      <c r="F19" s="9" t="s">
        <v>220</v>
      </c>
      <c r="G19" s="9" t="s">
        <v>221</v>
      </c>
      <c r="H19" s="9" t="s">
        <v>215</v>
      </c>
      <c r="I19" s="10" t="n">
        <v>45292</v>
      </c>
      <c r="J19" s="9" t="s">
        <v>62</v>
      </c>
      <c r="K19" s="9" t="s">
        <v>258</v>
      </c>
      <c r="L19" s="9" t="s">
        <v>217</v>
      </c>
      <c r="M19" s="10"/>
    </row>
    <row r="20" customFormat="false" ht="15" hidden="false" customHeight="true" outlineLevel="0" collapsed="false">
      <c r="A20" s="9" t="s">
        <v>259</v>
      </c>
      <c r="B20" s="9" t="s">
        <v>58</v>
      </c>
      <c r="C20" s="9" t="s">
        <v>59</v>
      </c>
      <c r="D20" s="9" t="s">
        <v>60</v>
      </c>
      <c r="E20" s="9" t="s">
        <v>212</v>
      </c>
      <c r="F20" s="9" t="s">
        <v>213</v>
      </c>
      <c r="G20" s="9" t="s">
        <v>214</v>
      </c>
      <c r="H20" s="9" t="s">
        <v>215</v>
      </c>
      <c r="I20" s="10" t="n">
        <v>44936</v>
      </c>
      <c r="J20" s="9" t="s">
        <v>104</v>
      </c>
      <c r="K20" s="9" t="s">
        <v>260</v>
      </c>
      <c r="L20" s="9" t="s">
        <v>217</v>
      </c>
      <c r="M20" s="10"/>
    </row>
    <row r="21" customFormat="false" ht="15" hidden="false" customHeight="true" outlineLevel="0" collapsed="false">
      <c r="A21" s="9" t="s">
        <v>261</v>
      </c>
      <c r="B21" s="9" t="s">
        <v>63</v>
      </c>
      <c r="C21" s="9" t="s">
        <v>64</v>
      </c>
      <c r="D21" s="9" t="s">
        <v>65</v>
      </c>
      <c r="E21" s="9" t="s">
        <v>219</v>
      </c>
      <c r="F21" s="9" t="s">
        <v>220</v>
      </c>
      <c r="G21" s="9" t="s">
        <v>221</v>
      </c>
      <c r="H21" s="9" t="s">
        <v>215</v>
      </c>
      <c r="I21" s="10" t="n">
        <v>45880</v>
      </c>
      <c r="J21" s="9" t="s">
        <v>50</v>
      </c>
      <c r="K21" s="9" t="s">
        <v>262</v>
      </c>
      <c r="L21" s="9" t="s">
        <v>230</v>
      </c>
      <c r="M21" s="10" t="n">
        <v>46054</v>
      </c>
    </row>
    <row r="22" customFormat="false" ht="15" hidden="false" customHeight="true" outlineLevel="0" collapsed="false">
      <c r="A22" s="9" t="s">
        <v>263</v>
      </c>
      <c r="B22" s="9" t="s">
        <v>63</v>
      </c>
      <c r="C22" s="9" t="s">
        <v>64</v>
      </c>
      <c r="D22" s="9" t="s">
        <v>65</v>
      </c>
      <c r="E22" s="9" t="s">
        <v>264</v>
      </c>
      <c r="F22" s="9" t="s">
        <v>189</v>
      </c>
      <c r="G22" s="9" t="s">
        <v>190</v>
      </c>
      <c r="H22" s="9" t="s">
        <v>234</v>
      </c>
      <c r="I22" s="10" t="n">
        <v>45835</v>
      </c>
      <c r="J22" s="9" t="s">
        <v>245</v>
      </c>
      <c r="K22" s="9" t="s">
        <v>265</v>
      </c>
      <c r="L22" s="9" t="s">
        <v>230</v>
      </c>
      <c r="M22" s="10" t="n">
        <v>46053</v>
      </c>
    </row>
    <row r="23" customFormat="false" ht="15" hidden="false" customHeight="true" outlineLevel="0" collapsed="false">
      <c r="A23" s="9" t="s">
        <v>266</v>
      </c>
      <c r="B23" s="9" t="s">
        <v>63</v>
      </c>
      <c r="C23" s="9" t="s">
        <v>64</v>
      </c>
      <c r="D23" s="9" t="s">
        <v>65</v>
      </c>
      <c r="E23" s="9" t="s">
        <v>212</v>
      </c>
      <c r="F23" s="9" t="s">
        <v>213</v>
      </c>
      <c r="G23" s="9" t="s">
        <v>214</v>
      </c>
      <c r="H23" s="9" t="s">
        <v>215</v>
      </c>
      <c r="I23" s="10" t="n">
        <v>46005</v>
      </c>
      <c r="J23" s="9" t="s">
        <v>41</v>
      </c>
      <c r="K23" s="9" t="s">
        <v>267</v>
      </c>
      <c r="L23" s="9" t="s">
        <v>217</v>
      </c>
      <c r="M23" s="10"/>
    </row>
    <row r="24" customFormat="false" ht="15" hidden="false" customHeight="true" outlineLevel="0" collapsed="false">
      <c r="A24" s="9" t="s">
        <v>268</v>
      </c>
      <c r="B24" s="9" t="s">
        <v>66</v>
      </c>
      <c r="C24" s="9" t="s">
        <v>67</v>
      </c>
      <c r="D24" s="9" t="s">
        <v>68</v>
      </c>
      <c r="E24" s="9" t="s">
        <v>269</v>
      </c>
      <c r="F24" s="9" t="s">
        <v>197</v>
      </c>
      <c r="G24" s="9" t="s">
        <v>198</v>
      </c>
      <c r="H24" s="9" t="s">
        <v>226</v>
      </c>
      <c r="I24" s="10" t="n">
        <v>45552</v>
      </c>
      <c r="J24" s="9" t="s">
        <v>41</v>
      </c>
      <c r="K24" s="9" t="s">
        <v>270</v>
      </c>
      <c r="L24" s="9" t="s">
        <v>217</v>
      </c>
      <c r="M24" s="10"/>
    </row>
    <row r="25" customFormat="false" ht="15" hidden="false" customHeight="true" outlineLevel="0" collapsed="false">
      <c r="A25" s="9" t="s">
        <v>271</v>
      </c>
      <c r="B25" s="9" t="s">
        <v>66</v>
      </c>
      <c r="C25" s="9" t="s">
        <v>67</v>
      </c>
      <c r="D25" s="9" t="s">
        <v>68</v>
      </c>
      <c r="E25" s="9" t="s">
        <v>212</v>
      </c>
      <c r="F25" s="9" t="s">
        <v>213</v>
      </c>
      <c r="G25" s="9" t="s">
        <v>214</v>
      </c>
      <c r="H25" s="9" t="s">
        <v>215</v>
      </c>
      <c r="I25" s="10" t="n">
        <v>45126</v>
      </c>
      <c r="J25" s="9" t="s">
        <v>84</v>
      </c>
      <c r="K25" s="9" t="s">
        <v>272</v>
      </c>
      <c r="L25" s="9" t="s">
        <v>217</v>
      </c>
      <c r="M25" s="10"/>
    </row>
    <row r="26" customFormat="false" ht="15" hidden="false" customHeight="true" outlineLevel="0" collapsed="false">
      <c r="A26" s="9" t="s">
        <v>273</v>
      </c>
      <c r="B26" s="9" t="s">
        <v>66</v>
      </c>
      <c r="C26" s="9" t="s">
        <v>67</v>
      </c>
      <c r="D26" s="9" t="s">
        <v>68</v>
      </c>
      <c r="E26" s="9" t="s">
        <v>219</v>
      </c>
      <c r="F26" s="9" t="s">
        <v>183</v>
      </c>
      <c r="G26" s="9" t="s">
        <v>184</v>
      </c>
      <c r="H26" s="9" t="s">
        <v>234</v>
      </c>
      <c r="I26" s="10" t="n">
        <v>45631</v>
      </c>
      <c r="J26" s="9" t="s">
        <v>69</v>
      </c>
      <c r="K26" s="9" t="s">
        <v>274</v>
      </c>
      <c r="L26" s="9" t="s">
        <v>217</v>
      </c>
      <c r="M26" s="10"/>
    </row>
    <row r="27" customFormat="false" ht="15" hidden="false" customHeight="true" outlineLevel="0" collapsed="false">
      <c r="A27" s="9" t="s">
        <v>275</v>
      </c>
      <c r="B27" s="9" t="s">
        <v>66</v>
      </c>
      <c r="C27" s="9" t="s">
        <v>67</v>
      </c>
      <c r="D27" s="9" t="s">
        <v>68</v>
      </c>
      <c r="E27" s="9" t="s">
        <v>219</v>
      </c>
      <c r="F27" s="9" t="s">
        <v>185</v>
      </c>
      <c r="G27" s="9" t="s">
        <v>186</v>
      </c>
      <c r="H27" s="9" t="s">
        <v>226</v>
      </c>
      <c r="I27" s="10" t="n">
        <v>45750</v>
      </c>
      <c r="J27" s="9"/>
      <c r="K27" s="9" t="s">
        <v>276</v>
      </c>
      <c r="L27" s="9" t="s">
        <v>217</v>
      </c>
      <c r="M27" s="10"/>
    </row>
    <row r="28" customFormat="false" ht="15" hidden="false" customHeight="true" outlineLevel="0" collapsed="false">
      <c r="A28" s="9" t="s">
        <v>277</v>
      </c>
      <c r="B28" s="9" t="s">
        <v>70</v>
      </c>
      <c r="C28" s="9" t="s">
        <v>71</v>
      </c>
      <c r="D28" s="9" t="s">
        <v>39</v>
      </c>
      <c r="E28" s="9" t="s">
        <v>212</v>
      </c>
      <c r="F28" s="9" t="s">
        <v>224</v>
      </c>
      <c r="G28" s="9" t="s">
        <v>225</v>
      </c>
      <c r="H28" s="9" t="s">
        <v>226</v>
      </c>
      <c r="I28" s="10" t="n">
        <v>45153</v>
      </c>
      <c r="J28" s="9" t="s">
        <v>62</v>
      </c>
      <c r="K28" s="9" t="s">
        <v>278</v>
      </c>
      <c r="L28" s="9" t="s">
        <v>217</v>
      </c>
      <c r="M28" s="10"/>
    </row>
    <row r="29" customFormat="false" ht="15" hidden="false" customHeight="true" outlineLevel="0" collapsed="false">
      <c r="A29" s="9" t="s">
        <v>279</v>
      </c>
      <c r="B29" s="9" t="s">
        <v>70</v>
      </c>
      <c r="C29" s="9" t="s">
        <v>71</v>
      </c>
      <c r="D29" s="9" t="s">
        <v>39</v>
      </c>
      <c r="E29" s="9" t="s">
        <v>219</v>
      </c>
      <c r="F29" s="9" t="s">
        <v>220</v>
      </c>
      <c r="G29" s="9" t="s">
        <v>221</v>
      </c>
      <c r="H29" s="9" t="s">
        <v>215</v>
      </c>
      <c r="I29" s="10" t="n">
        <v>45155</v>
      </c>
      <c r="J29" s="9" t="s">
        <v>53</v>
      </c>
      <c r="K29" s="9" t="s">
        <v>280</v>
      </c>
      <c r="L29" s="9" t="s">
        <v>217</v>
      </c>
      <c r="M29" s="10"/>
    </row>
    <row r="30" customFormat="false" ht="15" hidden="false" customHeight="true" outlineLevel="0" collapsed="false">
      <c r="A30" s="9" t="s">
        <v>281</v>
      </c>
      <c r="B30" s="9" t="s">
        <v>70</v>
      </c>
      <c r="C30" s="9" t="s">
        <v>71</v>
      </c>
      <c r="D30" s="9" t="s">
        <v>39</v>
      </c>
      <c r="E30" s="9" t="s">
        <v>212</v>
      </c>
      <c r="F30" s="9" t="s">
        <v>213</v>
      </c>
      <c r="G30" s="9" t="s">
        <v>214</v>
      </c>
      <c r="H30" s="9" t="s">
        <v>215</v>
      </c>
      <c r="I30" s="10" t="n">
        <v>45253</v>
      </c>
      <c r="J30" s="9" t="s">
        <v>104</v>
      </c>
      <c r="K30" s="9" t="s">
        <v>282</v>
      </c>
      <c r="L30" s="9" t="s">
        <v>217</v>
      </c>
      <c r="M30" s="10"/>
    </row>
    <row r="31" customFormat="false" ht="15" hidden="false" customHeight="true" outlineLevel="0" collapsed="false">
      <c r="A31" s="9" t="s">
        <v>283</v>
      </c>
      <c r="B31" s="9" t="s">
        <v>72</v>
      </c>
      <c r="C31" s="9" t="s">
        <v>73</v>
      </c>
      <c r="D31" s="9" t="s">
        <v>68</v>
      </c>
      <c r="E31" s="9" t="s">
        <v>212</v>
      </c>
      <c r="F31" s="9" t="s">
        <v>213</v>
      </c>
      <c r="G31" s="9" t="s">
        <v>214</v>
      </c>
      <c r="H31" s="9" t="s">
        <v>215</v>
      </c>
      <c r="I31" s="10" t="n">
        <v>45270</v>
      </c>
      <c r="J31" s="9"/>
      <c r="K31" s="9" t="s">
        <v>284</v>
      </c>
      <c r="L31" s="9" t="s">
        <v>217</v>
      </c>
      <c r="M31" s="10"/>
    </row>
    <row r="32" customFormat="false" ht="15" hidden="false" customHeight="true" outlineLevel="0" collapsed="false">
      <c r="A32" s="9" t="s">
        <v>285</v>
      </c>
      <c r="B32" s="9" t="s">
        <v>72</v>
      </c>
      <c r="C32" s="9" t="s">
        <v>73</v>
      </c>
      <c r="D32" s="9" t="s">
        <v>68</v>
      </c>
      <c r="E32" s="9" t="s">
        <v>269</v>
      </c>
      <c r="F32" s="9" t="s">
        <v>195</v>
      </c>
      <c r="G32" s="9" t="s">
        <v>196</v>
      </c>
      <c r="H32" s="9" t="s">
        <v>234</v>
      </c>
      <c r="I32" s="10" t="n">
        <v>45083</v>
      </c>
      <c r="J32" s="9" t="s">
        <v>45</v>
      </c>
      <c r="K32" s="9" t="s">
        <v>286</v>
      </c>
      <c r="L32" s="9" t="s">
        <v>217</v>
      </c>
      <c r="M32" s="10"/>
    </row>
    <row r="33" customFormat="false" ht="15" hidden="false" customHeight="true" outlineLevel="0" collapsed="false">
      <c r="A33" s="9" t="s">
        <v>287</v>
      </c>
      <c r="B33" s="9" t="s">
        <v>72</v>
      </c>
      <c r="C33" s="9" t="s">
        <v>73</v>
      </c>
      <c r="D33" s="9" t="s">
        <v>68</v>
      </c>
      <c r="E33" s="9" t="s">
        <v>269</v>
      </c>
      <c r="F33" s="9" t="s">
        <v>197</v>
      </c>
      <c r="G33" s="9" t="s">
        <v>198</v>
      </c>
      <c r="H33" s="9" t="s">
        <v>226</v>
      </c>
      <c r="I33" s="10" t="n">
        <v>45404</v>
      </c>
      <c r="J33" s="9" t="s">
        <v>84</v>
      </c>
      <c r="K33" s="9" t="s">
        <v>288</v>
      </c>
      <c r="L33" s="9" t="s">
        <v>217</v>
      </c>
      <c r="M33" s="10"/>
    </row>
    <row r="34" customFormat="false" ht="15" hidden="false" customHeight="true" outlineLevel="0" collapsed="false">
      <c r="A34" s="9" t="s">
        <v>289</v>
      </c>
      <c r="B34" s="9" t="s">
        <v>74</v>
      </c>
      <c r="C34" s="9" t="s">
        <v>75</v>
      </c>
      <c r="D34" s="9" t="s">
        <v>60</v>
      </c>
      <c r="E34" s="9" t="s">
        <v>240</v>
      </c>
      <c r="F34" s="9" t="s">
        <v>167</v>
      </c>
      <c r="G34" s="9" t="s">
        <v>168</v>
      </c>
      <c r="H34" s="9" t="s">
        <v>234</v>
      </c>
      <c r="I34" s="10" t="n">
        <v>45232</v>
      </c>
      <c r="J34" s="9" t="s">
        <v>84</v>
      </c>
      <c r="K34" s="9" t="s">
        <v>290</v>
      </c>
      <c r="L34" s="9" t="s">
        <v>217</v>
      </c>
      <c r="M34" s="10"/>
    </row>
    <row r="35" customFormat="false" ht="15" hidden="false" customHeight="true" outlineLevel="0" collapsed="false">
      <c r="A35" s="9" t="s">
        <v>291</v>
      </c>
      <c r="B35" s="9" t="s">
        <v>74</v>
      </c>
      <c r="C35" s="9" t="s">
        <v>75</v>
      </c>
      <c r="D35" s="9" t="s">
        <v>60</v>
      </c>
      <c r="E35" s="9" t="s">
        <v>240</v>
      </c>
      <c r="F35" s="9" t="s">
        <v>173</v>
      </c>
      <c r="G35" s="9" t="s">
        <v>174</v>
      </c>
      <c r="H35" s="9" t="s">
        <v>234</v>
      </c>
      <c r="I35" s="10" t="n">
        <v>45544</v>
      </c>
      <c r="J35" s="9" t="s">
        <v>45</v>
      </c>
      <c r="K35" s="9" t="s">
        <v>292</v>
      </c>
      <c r="L35" s="9" t="s">
        <v>217</v>
      </c>
      <c r="M35" s="10"/>
    </row>
    <row r="36" customFormat="false" ht="15" hidden="false" customHeight="true" outlineLevel="0" collapsed="false">
      <c r="A36" s="9" t="s">
        <v>293</v>
      </c>
      <c r="B36" s="9" t="s">
        <v>74</v>
      </c>
      <c r="C36" s="9" t="s">
        <v>75</v>
      </c>
      <c r="D36" s="9" t="s">
        <v>60</v>
      </c>
      <c r="E36" s="9" t="s">
        <v>212</v>
      </c>
      <c r="F36" s="9" t="s">
        <v>213</v>
      </c>
      <c r="G36" s="9" t="s">
        <v>214</v>
      </c>
      <c r="H36" s="9" t="s">
        <v>215</v>
      </c>
      <c r="I36" s="10" t="n">
        <v>44956</v>
      </c>
      <c r="J36" s="9" t="s">
        <v>84</v>
      </c>
      <c r="K36" s="9" t="s">
        <v>294</v>
      </c>
      <c r="L36" s="9" t="s">
        <v>217</v>
      </c>
      <c r="M36" s="10"/>
    </row>
    <row r="37" customFormat="false" ht="15" hidden="false" customHeight="true" outlineLevel="0" collapsed="false">
      <c r="A37" s="9" t="s">
        <v>295</v>
      </c>
      <c r="B37" s="9" t="s">
        <v>74</v>
      </c>
      <c r="C37" s="9" t="s">
        <v>75</v>
      </c>
      <c r="D37" s="9" t="s">
        <v>60</v>
      </c>
      <c r="E37" s="9" t="s">
        <v>240</v>
      </c>
      <c r="F37" s="9" t="s">
        <v>169</v>
      </c>
      <c r="G37" s="9" t="s">
        <v>170</v>
      </c>
      <c r="H37" s="9" t="s">
        <v>234</v>
      </c>
      <c r="I37" s="10" t="n">
        <v>45096</v>
      </c>
      <c r="J37" s="9" t="s">
        <v>135</v>
      </c>
      <c r="K37" s="9" t="s">
        <v>296</v>
      </c>
      <c r="L37" s="9" t="s">
        <v>217</v>
      </c>
      <c r="M37" s="10"/>
    </row>
    <row r="38" customFormat="false" ht="15" hidden="false" customHeight="true" outlineLevel="0" collapsed="false">
      <c r="A38" s="9" t="s">
        <v>297</v>
      </c>
      <c r="B38" s="9" t="s">
        <v>77</v>
      </c>
      <c r="C38" s="9" t="s">
        <v>78</v>
      </c>
      <c r="D38" s="9" t="s">
        <v>39</v>
      </c>
      <c r="E38" s="9" t="s">
        <v>212</v>
      </c>
      <c r="F38" s="9" t="s">
        <v>213</v>
      </c>
      <c r="G38" s="9" t="s">
        <v>214</v>
      </c>
      <c r="H38" s="9" t="s">
        <v>215</v>
      </c>
      <c r="I38" s="10" t="n">
        <v>45885</v>
      </c>
      <c r="J38" s="9"/>
      <c r="K38" s="9" t="s">
        <v>298</v>
      </c>
      <c r="L38" s="9" t="s">
        <v>217</v>
      </c>
      <c r="M38" s="10"/>
    </row>
    <row r="39" customFormat="false" ht="15" hidden="false" customHeight="true" outlineLevel="0" collapsed="false">
      <c r="A39" s="9" t="s">
        <v>299</v>
      </c>
      <c r="B39" s="9" t="s">
        <v>77</v>
      </c>
      <c r="C39" s="9" t="s">
        <v>78</v>
      </c>
      <c r="D39" s="9" t="s">
        <v>39</v>
      </c>
      <c r="E39" s="9" t="s">
        <v>212</v>
      </c>
      <c r="F39" s="9" t="s">
        <v>224</v>
      </c>
      <c r="G39" s="9" t="s">
        <v>225</v>
      </c>
      <c r="H39" s="9" t="s">
        <v>226</v>
      </c>
      <c r="I39" s="10" t="n">
        <v>46081</v>
      </c>
      <c r="J39" s="9" t="s">
        <v>57</v>
      </c>
      <c r="K39" s="9" t="s">
        <v>300</v>
      </c>
      <c r="L39" s="9" t="s">
        <v>217</v>
      </c>
      <c r="M39" s="10"/>
    </row>
    <row r="40" customFormat="false" ht="15" hidden="false" customHeight="true" outlineLevel="0" collapsed="false">
      <c r="A40" s="9" t="s">
        <v>301</v>
      </c>
      <c r="B40" s="9" t="s">
        <v>77</v>
      </c>
      <c r="C40" s="9" t="s">
        <v>78</v>
      </c>
      <c r="D40" s="9" t="s">
        <v>39</v>
      </c>
      <c r="E40" s="9" t="s">
        <v>219</v>
      </c>
      <c r="F40" s="9" t="s">
        <v>220</v>
      </c>
      <c r="G40" s="9" t="s">
        <v>221</v>
      </c>
      <c r="H40" s="9" t="s">
        <v>215</v>
      </c>
      <c r="I40" s="10" t="n">
        <v>46178</v>
      </c>
      <c r="J40" s="9" t="s">
        <v>104</v>
      </c>
      <c r="K40" s="9" t="s">
        <v>302</v>
      </c>
      <c r="L40" s="9" t="s">
        <v>217</v>
      </c>
      <c r="M40" s="10"/>
    </row>
    <row r="41" customFormat="false" ht="15" hidden="false" customHeight="true" outlineLevel="0" collapsed="false">
      <c r="A41" s="9" t="s">
        <v>303</v>
      </c>
      <c r="B41" s="9" t="s">
        <v>79</v>
      </c>
      <c r="C41" s="9" t="s">
        <v>80</v>
      </c>
      <c r="D41" s="9" t="s">
        <v>81</v>
      </c>
      <c r="E41" s="9" t="s">
        <v>219</v>
      </c>
      <c r="F41" s="9" t="s">
        <v>220</v>
      </c>
      <c r="G41" s="9" t="s">
        <v>221</v>
      </c>
      <c r="H41" s="9" t="s">
        <v>215</v>
      </c>
      <c r="I41" s="10" t="n">
        <v>45009</v>
      </c>
      <c r="J41" s="9" t="s">
        <v>69</v>
      </c>
      <c r="K41" s="9" t="s">
        <v>304</v>
      </c>
      <c r="L41" s="9" t="s">
        <v>230</v>
      </c>
      <c r="M41" s="10" t="n">
        <v>45321</v>
      </c>
    </row>
    <row r="42" customFormat="false" ht="15" hidden="false" customHeight="true" outlineLevel="0" collapsed="false">
      <c r="A42" s="9" t="s">
        <v>305</v>
      </c>
      <c r="B42" s="9" t="s">
        <v>79</v>
      </c>
      <c r="C42" s="9" t="s">
        <v>80</v>
      </c>
      <c r="D42" s="9" t="s">
        <v>81</v>
      </c>
      <c r="E42" s="9" t="s">
        <v>240</v>
      </c>
      <c r="F42" s="9" t="s">
        <v>179</v>
      </c>
      <c r="G42" s="9" t="s">
        <v>180</v>
      </c>
      <c r="H42" s="9" t="s">
        <v>226</v>
      </c>
      <c r="I42" s="10" t="n">
        <v>45415</v>
      </c>
      <c r="J42" s="9" t="s">
        <v>53</v>
      </c>
      <c r="K42" s="9" t="s">
        <v>306</v>
      </c>
      <c r="L42" s="9" t="s">
        <v>217</v>
      </c>
      <c r="M42" s="10"/>
    </row>
    <row r="43" customFormat="false" ht="15" hidden="false" customHeight="true" outlineLevel="0" collapsed="false">
      <c r="A43" s="9" t="s">
        <v>307</v>
      </c>
      <c r="B43" s="9" t="s">
        <v>82</v>
      </c>
      <c r="C43" s="9" t="s">
        <v>83</v>
      </c>
      <c r="D43" s="9" t="s">
        <v>68</v>
      </c>
      <c r="E43" s="9" t="s">
        <v>219</v>
      </c>
      <c r="F43" s="9" t="s">
        <v>220</v>
      </c>
      <c r="G43" s="9" t="s">
        <v>221</v>
      </c>
      <c r="H43" s="9" t="s">
        <v>215</v>
      </c>
      <c r="I43" s="10" t="n">
        <v>45304</v>
      </c>
      <c r="J43" s="9" t="s">
        <v>53</v>
      </c>
      <c r="K43" s="9" t="s">
        <v>308</v>
      </c>
      <c r="L43" s="9" t="s">
        <v>217</v>
      </c>
      <c r="M43" s="10"/>
    </row>
    <row r="44" customFormat="false" ht="15" hidden="false" customHeight="true" outlineLevel="0" collapsed="false">
      <c r="A44" s="9" t="s">
        <v>309</v>
      </c>
      <c r="B44" s="9" t="s">
        <v>82</v>
      </c>
      <c r="C44" s="9" t="s">
        <v>83</v>
      </c>
      <c r="D44" s="9" t="s">
        <v>68</v>
      </c>
      <c r="E44" s="9" t="s">
        <v>269</v>
      </c>
      <c r="F44" s="9" t="s">
        <v>195</v>
      </c>
      <c r="G44" s="9" t="s">
        <v>196</v>
      </c>
      <c r="H44" s="9" t="s">
        <v>234</v>
      </c>
      <c r="I44" s="10" t="n">
        <v>45044</v>
      </c>
      <c r="J44" s="9"/>
      <c r="K44" s="9" t="s">
        <v>310</v>
      </c>
      <c r="L44" s="9" t="s">
        <v>217</v>
      </c>
      <c r="M44" s="10"/>
    </row>
    <row r="45" customFormat="false" ht="15" hidden="false" customHeight="true" outlineLevel="0" collapsed="false">
      <c r="A45" s="9" t="s">
        <v>311</v>
      </c>
      <c r="B45" s="9" t="s">
        <v>85</v>
      </c>
      <c r="C45" s="9" t="s">
        <v>86</v>
      </c>
      <c r="D45" s="9" t="s">
        <v>39</v>
      </c>
      <c r="E45" s="9" t="s">
        <v>219</v>
      </c>
      <c r="F45" s="9" t="s">
        <v>220</v>
      </c>
      <c r="G45" s="9" t="s">
        <v>221</v>
      </c>
      <c r="H45" s="9" t="s">
        <v>215</v>
      </c>
      <c r="I45" s="10" t="n">
        <v>45175</v>
      </c>
      <c r="J45" s="9" t="s">
        <v>41</v>
      </c>
      <c r="K45" s="9" t="s">
        <v>312</v>
      </c>
      <c r="L45" s="9" t="s">
        <v>217</v>
      </c>
      <c r="M45" s="10"/>
    </row>
    <row r="46" customFormat="false" ht="15" hidden="false" customHeight="true" outlineLevel="0" collapsed="false">
      <c r="A46" s="9" t="s">
        <v>313</v>
      </c>
      <c r="B46" s="9" t="s">
        <v>85</v>
      </c>
      <c r="C46" s="9" t="s">
        <v>86</v>
      </c>
      <c r="D46" s="9" t="s">
        <v>39</v>
      </c>
      <c r="E46" s="9" t="s">
        <v>212</v>
      </c>
      <c r="F46" s="9" t="s">
        <v>213</v>
      </c>
      <c r="G46" s="9" t="s">
        <v>214</v>
      </c>
      <c r="H46" s="9" t="s">
        <v>215</v>
      </c>
      <c r="I46" s="10" t="n">
        <v>45050</v>
      </c>
      <c r="J46" s="9" t="s">
        <v>62</v>
      </c>
      <c r="K46" s="9" t="s">
        <v>314</v>
      </c>
      <c r="L46" s="9" t="s">
        <v>217</v>
      </c>
      <c r="M46" s="10"/>
    </row>
    <row r="47" customFormat="false" ht="15" hidden="false" customHeight="true" outlineLevel="0" collapsed="false">
      <c r="A47" s="9" t="s">
        <v>315</v>
      </c>
      <c r="B47" s="9" t="s">
        <v>85</v>
      </c>
      <c r="C47" s="9" t="s">
        <v>86</v>
      </c>
      <c r="D47" s="9" t="s">
        <v>39</v>
      </c>
      <c r="E47" s="9" t="s">
        <v>212</v>
      </c>
      <c r="F47" s="9" t="s">
        <v>224</v>
      </c>
      <c r="G47" s="9" t="s">
        <v>225</v>
      </c>
      <c r="H47" s="9" t="s">
        <v>226</v>
      </c>
      <c r="I47" s="10" t="n">
        <v>45306</v>
      </c>
      <c r="J47" s="9" t="s">
        <v>41</v>
      </c>
      <c r="K47" s="9" t="s">
        <v>316</v>
      </c>
      <c r="L47" s="9" t="s">
        <v>230</v>
      </c>
      <c r="M47" s="10" t="n">
        <v>45736</v>
      </c>
    </row>
    <row r="48" customFormat="false" ht="15" hidden="false" customHeight="true" outlineLevel="0" collapsed="false">
      <c r="A48" s="9" t="s">
        <v>317</v>
      </c>
      <c r="B48" s="9" t="s">
        <v>85</v>
      </c>
      <c r="C48" s="9" t="s">
        <v>86</v>
      </c>
      <c r="D48" s="9" t="s">
        <v>39</v>
      </c>
      <c r="E48" s="9" t="s">
        <v>269</v>
      </c>
      <c r="F48" s="9" t="s">
        <v>195</v>
      </c>
      <c r="G48" s="9" t="s">
        <v>196</v>
      </c>
      <c r="H48" s="9" t="s">
        <v>234</v>
      </c>
      <c r="I48" s="10" t="n">
        <v>45428</v>
      </c>
      <c r="J48" s="9" t="s">
        <v>41</v>
      </c>
      <c r="K48" s="9" t="s">
        <v>318</v>
      </c>
      <c r="L48" s="9" t="s">
        <v>217</v>
      </c>
      <c r="M48" s="10"/>
    </row>
    <row r="49" customFormat="false" ht="15" hidden="false" customHeight="true" outlineLevel="0" collapsed="false">
      <c r="A49" s="9" t="s">
        <v>319</v>
      </c>
      <c r="B49" s="9" t="s">
        <v>85</v>
      </c>
      <c r="C49" s="9" t="s">
        <v>86</v>
      </c>
      <c r="D49" s="9" t="s">
        <v>39</v>
      </c>
      <c r="E49" s="9" t="s">
        <v>269</v>
      </c>
      <c r="F49" s="9" t="s">
        <v>197</v>
      </c>
      <c r="G49" s="9" t="s">
        <v>198</v>
      </c>
      <c r="H49" s="9" t="s">
        <v>226</v>
      </c>
      <c r="I49" s="10" t="n">
        <v>45397</v>
      </c>
      <c r="J49" s="9" t="s">
        <v>53</v>
      </c>
      <c r="K49" s="9" t="s">
        <v>320</v>
      </c>
      <c r="L49" s="9" t="s">
        <v>217</v>
      </c>
      <c r="M49" s="10"/>
    </row>
    <row r="50" customFormat="false" ht="15" hidden="false" customHeight="true" outlineLevel="0" collapsed="false">
      <c r="A50" s="9" t="s">
        <v>321</v>
      </c>
      <c r="B50" s="9" t="s">
        <v>87</v>
      </c>
      <c r="C50" s="9" t="s">
        <v>88</v>
      </c>
      <c r="D50" s="9" t="s">
        <v>44</v>
      </c>
      <c r="E50" s="9" t="s">
        <v>219</v>
      </c>
      <c r="F50" s="9" t="s">
        <v>185</v>
      </c>
      <c r="G50" s="9" t="s">
        <v>186</v>
      </c>
      <c r="H50" s="9" t="s">
        <v>226</v>
      </c>
      <c r="I50" s="10" t="n">
        <v>45650</v>
      </c>
      <c r="J50" s="9" t="s">
        <v>57</v>
      </c>
      <c r="K50" s="9" t="s">
        <v>322</v>
      </c>
      <c r="L50" s="9" t="s">
        <v>217</v>
      </c>
      <c r="M50" s="10"/>
    </row>
    <row r="51" customFormat="false" ht="15" hidden="false" customHeight="true" outlineLevel="0" collapsed="false">
      <c r="A51" s="9" t="s">
        <v>323</v>
      </c>
      <c r="B51" s="9" t="s">
        <v>87</v>
      </c>
      <c r="C51" s="9" t="s">
        <v>88</v>
      </c>
      <c r="D51" s="9" t="s">
        <v>44</v>
      </c>
      <c r="E51" s="9" t="s">
        <v>219</v>
      </c>
      <c r="F51" s="9" t="s">
        <v>220</v>
      </c>
      <c r="G51" s="9" t="s">
        <v>221</v>
      </c>
      <c r="H51" s="9" t="s">
        <v>215</v>
      </c>
      <c r="I51" s="10" t="n">
        <v>46024</v>
      </c>
      <c r="J51" s="9" t="s">
        <v>45</v>
      </c>
      <c r="K51" s="9" t="s">
        <v>324</v>
      </c>
      <c r="L51" s="9" t="s">
        <v>217</v>
      </c>
      <c r="M51" s="10"/>
    </row>
    <row r="52" customFormat="false" ht="15" hidden="false" customHeight="true" outlineLevel="0" collapsed="false">
      <c r="A52" s="9" t="s">
        <v>325</v>
      </c>
      <c r="B52" s="9" t="s">
        <v>87</v>
      </c>
      <c r="C52" s="9" t="s">
        <v>88</v>
      </c>
      <c r="D52" s="9" t="s">
        <v>44</v>
      </c>
      <c r="E52" s="9" t="s">
        <v>212</v>
      </c>
      <c r="F52" s="9" t="s">
        <v>213</v>
      </c>
      <c r="G52" s="9" t="s">
        <v>214</v>
      </c>
      <c r="H52" s="9" t="s">
        <v>215</v>
      </c>
      <c r="I52" s="10" t="n">
        <v>45789</v>
      </c>
      <c r="J52" s="9" t="s">
        <v>69</v>
      </c>
      <c r="K52" s="9" t="s">
        <v>326</v>
      </c>
      <c r="L52" s="9" t="s">
        <v>217</v>
      </c>
      <c r="M52" s="10"/>
    </row>
    <row r="53" customFormat="false" ht="15" hidden="false" customHeight="true" outlineLevel="0" collapsed="false">
      <c r="A53" s="9" t="s">
        <v>327</v>
      </c>
      <c r="B53" s="9" t="s">
        <v>87</v>
      </c>
      <c r="C53" s="9" t="s">
        <v>88</v>
      </c>
      <c r="D53" s="9" t="s">
        <v>44</v>
      </c>
      <c r="E53" s="9" t="s">
        <v>219</v>
      </c>
      <c r="F53" s="9" t="s">
        <v>183</v>
      </c>
      <c r="G53" s="9" t="s">
        <v>184</v>
      </c>
      <c r="H53" s="9" t="s">
        <v>234</v>
      </c>
      <c r="I53" s="10" t="n">
        <v>45535</v>
      </c>
      <c r="J53" s="9" t="s">
        <v>57</v>
      </c>
      <c r="K53" s="9" t="s">
        <v>328</v>
      </c>
      <c r="L53" s="9" t="s">
        <v>217</v>
      </c>
      <c r="M53" s="10"/>
    </row>
    <row r="54" customFormat="false" ht="15" hidden="false" customHeight="true" outlineLevel="0" collapsed="false">
      <c r="A54" s="9" t="s">
        <v>329</v>
      </c>
      <c r="B54" s="9" t="s">
        <v>89</v>
      </c>
      <c r="C54" s="9" t="s">
        <v>90</v>
      </c>
      <c r="D54" s="9" t="s">
        <v>81</v>
      </c>
      <c r="E54" s="9" t="s">
        <v>219</v>
      </c>
      <c r="F54" s="9" t="s">
        <v>220</v>
      </c>
      <c r="G54" s="9" t="s">
        <v>221</v>
      </c>
      <c r="H54" s="9" t="s">
        <v>215</v>
      </c>
      <c r="I54" s="10" t="n">
        <v>45135</v>
      </c>
      <c r="J54" s="9" t="s">
        <v>135</v>
      </c>
      <c r="K54" s="9" t="s">
        <v>330</v>
      </c>
      <c r="L54" s="9" t="s">
        <v>230</v>
      </c>
      <c r="M54" s="10" t="n">
        <v>45826</v>
      </c>
    </row>
    <row r="55" customFormat="false" ht="15" hidden="false" customHeight="true" outlineLevel="0" collapsed="false">
      <c r="A55" s="9" t="s">
        <v>331</v>
      </c>
      <c r="B55" s="9" t="s">
        <v>89</v>
      </c>
      <c r="C55" s="9" t="s">
        <v>90</v>
      </c>
      <c r="D55" s="9" t="s">
        <v>81</v>
      </c>
      <c r="E55" s="9" t="s">
        <v>240</v>
      </c>
      <c r="F55" s="9" t="s">
        <v>173</v>
      </c>
      <c r="G55" s="9" t="s">
        <v>174</v>
      </c>
      <c r="H55" s="9" t="s">
        <v>234</v>
      </c>
      <c r="I55" s="10" t="n">
        <v>45291</v>
      </c>
      <c r="J55" s="9" t="s">
        <v>135</v>
      </c>
      <c r="K55" s="9" t="s">
        <v>332</v>
      </c>
      <c r="L55" s="9" t="s">
        <v>217</v>
      </c>
      <c r="M55" s="10"/>
    </row>
    <row r="56" customFormat="false" ht="15" hidden="false" customHeight="true" outlineLevel="0" collapsed="false">
      <c r="A56" s="9" t="s">
        <v>333</v>
      </c>
      <c r="B56" s="9" t="s">
        <v>89</v>
      </c>
      <c r="C56" s="9" t="s">
        <v>90</v>
      </c>
      <c r="D56" s="9" t="s">
        <v>81</v>
      </c>
      <c r="E56" s="9" t="s">
        <v>240</v>
      </c>
      <c r="F56" s="9" t="s">
        <v>167</v>
      </c>
      <c r="G56" s="9" t="s">
        <v>168</v>
      </c>
      <c r="H56" s="9" t="s">
        <v>234</v>
      </c>
      <c r="I56" s="10" t="n">
        <v>45040</v>
      </c>
      <c r="J56" s="9" t="s">
        <v>84</v>
      </c>
      <c r="K56" s="9" t="s">
        <v>334</v>
      </c>
      <c r="L56" s="9" t="s">
        <v>230</v>
      </c>
      <c r="M56" s="10" t="n">
        <v>45824</v>
      </c>
    </row>
    <row r="57" customFormat="false" ht="15" hidden="false" customHeight="true" outlineLevel="0" collapsed="false">
      <c r="A57" s="9" t="s">
        <v>335</v>
      </c>
      <c r="B57" s="9" t="s">
        <v>89</v>
      </c>
      <c r="C57" s="9" t="s">
        <v>90</v>
      </c>
      <c r="D57" s="9" t="s">
        <v>81</v>
      </c>
      <c r="E57" s="9" t="s">
        <v>240</v>
      </c>
      <c r="F57" s="9" t="s">
        <v>179</v>
      </c>
      <c r="G57" s="9" t="s">
        <v>180</v>
      </c>
      <c r="H57" s="9" t="s">
        <v>226</v>
      </c>
      <c r="I57" s="10" t="n">
        <v>45210</v>
      </c>
      <c r="J57" s="9" t="s">
        <v>50</v>
      </c>
      <c r="K57" s="9" t="s">
        <v>336</v>
      </c>
      <c r="L57" s="9" t="s">
        <v>230</v>
      </c>
      <c r="M57" s="10" t="n">
        <v>45824</v>
      </c>
    </row>
    <row r="58" customFormat="false" ht="15" hidden="false" customHeight="true" outlineLevel="0" collapsed="false">
      <c r="A58" s="9" t="s">
        <v>337</v>
      </c>
      <c r="B58" s="9" t="s">
        <v>89</v>
      </c>
      <c r="C58" s="9" t="s">
        <v>90</v>
      </c>
      <c r="D58" s="9" t="s">
        <v>81</v>
      </c>
      <c r="E58" s="9" t="s">
        <v>269</v>
      </c>
      <c r="F58" s="9" t="s">
        <v>195</v>
      </c>
      <c r="G58" s="9" t="s">
        <v>196</v>
      </c>
      <c r="H58" s="9" t="s">
        <v>234</v>
      </c>
      <c r="I58" s="10" t="n">
        <v>45107</v>
      </c>
      <c r="J58" s="9" t="s">
        <v>135</v>
      </c>
      <c r="K58" s="9" t="s">
        <v>338</v>
      </c>
      <c r="L58" s="9" t="s">
        <v>217</v>
      </c>
      <c r="M58" s="10"/>
    </row>
    <row r="59" customFormat="false" ht="15" hidden="false" customHeight="true" outlineLevel="0" collapsed="false">
      <c r="A59" s="9" t="s">
        <v>339</v>
      </c>
      <c r="B59" s="9" t="s">
        <v>89</v>
      </c>
      <c r="C59" s="9" t="s">
        <v>90</v>
      </c>
      <c r="D59" s="9" t="s">
        <v>81</v>
      </c>
      <c r="E59" s="9" t="s">
        <v>269</v>
      </c>
      <c r="F59" s="9" t="s">
        <v>197</v>
      </c>
      <c r="G59" s="9" t="s">
        <v>198</v>
      </c>
      <c r="H59" s="9" t="s">
        <v>226</v>
      </c>
      <c r="I59" s="10" t="n">
        <v>45296</v>
      </c>
      <c r="J59" s="9" t="s">
        <v>45</v>
      </c>
      <c r="K59" s="9"/>
      <c r="L59" s="9" t="s">
        <v>230</v>
      </c>
      <c r="M59" s="10" t="n">
        <v>45823</v>
      </c>
    </row>
    <row r="60" customFormat="false" ht="15" hidden="false" customHeight="true" outlineLevel="0" collapsed="false">
      <c r="A60" s="9" t="s">
        <v>340</v>
      </c>
      <c r="B60" s="9" t="s">
        <v>91</v>
      </c>
      <c r="C60" s="9" t="s">
        <v>92</v>
      </c>
      <c r="D60" s="9" t="s">
        <v>44</v>
      </c>
      <c r="E60" s="9" t="s">
        <v>212</v>
      </c>
      <c r="F60" s="9" t="s">
        <v>213</v>
      </c>
      <c r="G60" s="9" t="s">
        <v>214</v>
      </c>
      <c r="H60" s="9" t="s">
        <v>215</v>
      </c>
      <c r="I60" s="10" t="n">
        <v>46124</v>
      </c>
      <c r="J60" s="9" t="s">
        <v>62</v>
      </c>
      <c r="K60" s="9" t="s">
        <v>341</v>
      </c>
      <c r="L60" s="9" t="s">
        <v>217</v>
      </c>
      <c r="M60" s="10"/>
    </row>
    <row r="61" customFormat="false" ht="15" hidden="false" customHeight="true" outlineLevel="0" collapsed="false">
      <c r="A61" s="9" t="s">
        <v>342</v>
      </c>
      <c r="B61" s="9" t="s">
        <v>91</v>
      </c>
      <c r="C61" s="9" t="s">
        <v>92</v>
      </c>
      <c r="D61" s="9" t="s">
        <v>44</v>
      </c>
      <c r="E61" s="9" t="s">
        <v>219</v>
      </c>
      <c r="F61" s="9" t="s">
        <v>185</v>
      </c>
      <c r="G61" s="9" t="s">
        <v>186</v>
      </c>
      <c r="H61" s="9" t="s">
        <v>226</v>
      </c>
      <c r="I61" s="10" t="n">
        <v>46235</v>
      </c>
      <c r="J61" s="9" t="s">
        <v>45</v>
      </c>
      <c r="K61" s="9" t="s">
        <v>343</v>
      </c>
      <c r="L61" s="9" t="s">
        <v>217</v>
      </c>
      <c r="M61" s="10"/>
    </row>
    <row r="62" customFormat="false" ht="15" hidden="false" customHeight="true" outlineLevel="0" collapsed="false">
      <c r="A62" s="9" t="s">
        <v>344</v>
      </c>
      <c r="B62" s="9" t="s">
        <v>93</v>
      </c>
      <c r="C62" s="9" t="s">
        <v>94</v>
      </c>
      <c r="D62" s="9" t="s">
        <v>48</v>
      </c>
      <c r="E62" s="9" t="s">
        <v>212</v>
      </c>
      <c r="F62" s="9" t="s">
        <v>213</v>
      </c>
      <c r="G62" s="9" t="s">
        <v>214</v>
      </c>
      <c r="H62" s="9" t="s">
        <v>215</v>
      </c>
      <c r="I62" s="10" t="n">
        <v>45525</v>
      </c>
      <c r="J62" s="9" t="s">
        <v>53</v>
      </c>
      <c r="K62" s="9" t="s">
        <v>345</v>
      </c>
      <c r="L62" s="9" t="s">
        <v>217</v>
      </c>
      <c r="M62" s="10"/>
    </row>
    <row r="63" customFormat="false" ht="15" hidden="false" customHeight="true" outlineLevel="0" collapsed="false">
      <c r="A63" s="9" t="s">
        <v>346</v>
      </c>
      <c r="B63" s="9" t="s">
        <v>93</v>
      </c>
      <c r="C63" s="9" t="s">
        <v>94</v>
      </c>
      <c r="D63" s="9" t="s">
        <v>48</v>
      </c>
      <c r="E63" s="9" t="s">
        <v>240</v>
      </c>
      <c r="F63" s="9" t="s">
        <v>173</v>
      </c>
      <c r="G63" s="9" t="s">
        <v>174</v>
      </c>
      <c r="H63" s="9" t="s">
        <v>234</v>
      </c>
      <c r="I63" s="10" t="n">
        <v>44952</v>
      </c>
      <c r="J63" s="9" t="s">
        <v>62</v>
      </c>
      <c r="K63" s="9" t="s">
        <v>347</v>
      </c>
      <c r="L63" s="9" t="s">
        <v>217</v>
      </c>
      <c r="M63" s="10"/>
    </row>
    <row r="64" customFormat="false" ht="15" hidden="false" customHeight="true" outlineLevel="0" collapsed="false">
      <c r="A64" s="9" t="s">
        <v>348</v>
      </c>
      <c r="B64" s="9" t="s">
        <v>93</v>
      </c>
      <c r="C64" s="9" t="s">
        <v>94</v>
      </c>
      <c r="D64" s="9" t="s">
        <v>48</v>
      </c>
      <c r="E64" s="9" t="s">
        <v>240</v>
      </c>
      <c r="F64" s="9" t="s">
        <v>167</v>
      </c>
      <c r="G64" s="9" t="s">
        <v>168</v>
      </c>
      <c r="H64" s="9" t="s">
        <v>234</v>
      </c>
      <c r="I64" s="10" t="n">
        <v>45304</v>
      </c>
      <c r="J64" s="9" t="s">
        <v>69</v>
      </c>
      <c r="K64" s="9" t="s">
        <v>349</v>
      </c>
      <c r="L64" s="9" t="s">
        <v>217</v>
      </c>
      <c r="M64" s="10"/>
    </row>
    <row r="65" customFormat="false" ht="15" hidden="false" customHeight="true" outlineLevel="0" collapsed="false">
      <c r="A65" s="9" t="s">
        <v>350</v>
      </c>
      <c r="B65" s="9" t="s">
        <v>93</v>
      </c>
      <c r="C65" s="9" t="s">
        <v>94</v>
      </c>
      <c r="D65" s="9" t="s">
        <v>48</v>
      </c>
      <c r="E65" s="9" t="s">
        <v>240</v>
      </c>
      <c r="F65" s="9" t="s">
        <v>169</v>
      </c>
      <c r="G65" s="9" t="s">
        <v>170</v>
      </c>
      <c r="H65" s="9" t="s">
        <v>234</v>
      </c>
      <c r="I65" s="10" t="n">
        <v>45060</v>
      </c>
      <c r="J65" s="9" t="s">
        <v>84</v>
      </c>
      <c r="K65" s="9"/>
      <c r="L65" s="9" t="s">
        <v>230</v>
      </c>
      <c r="M65" s="10" t="n">
        <v>45365</v>
      </c>
    </row>
    <row r="66" customFormat="false" ht="15" hidden="false" customHeight="true" outlineLevel="0" collapsed="false">
      <c r="A66" s="9" t="s">
        <v>351</v>
      </c>
      <c r="B66" s="9" t="s">
        <v>95</v>
      </c>
      <c r="C66" s="9" t="s">
        <v>96</v>
      </c>
      <c r="D66" s="9" t="s">
        <v>97</v>
      </c>
      <c r="E66" s="9" t="s">
        <v>219</v>
      </c>
      <c r="F66" s="9" t="s">
        <v>185</v>
      </c>
      <c r="G66" s="9" t="s">
        <v>186</v>
      </c>
      <c r="H66" s="9" t="s">
        <v>226</v>
      </c>
      <c r="I66" s="10" t="n">
        <v>45750</v>
      </c>
      <c r="J66" s="9" t="s">
        <v>62</v>
      </c>
      <c r="K66" s="9" t="s">
        <v>352</v>
      </c>
      <c r="L66" s="9" t="s">
        <v>217</v>
      </c>
      <c r="M66" s="10"/>
    </row>
    <row r="67" customFormat="false" ht="15" hidden="false" customHeight="true" outlineLevel="0" collapsed="false">
      <c r="A67" s="9" t="s">
        <v>353</v>
      </c>
      <c r="B67" s="9" t="s">
        <v>95</v>
      </c>
      <c r="C67" s="9" t="s">
        <v>96</v>
      </c>
      <c r="D67" s="9" t="s">
        <v>97</v>
      </c>
      <c r="E67" s="9" t="s">
        <v>219</v>
      </c>
      <c r="F67" s="9" t="s">
        <v>183</v>
      </c>
      <c r="G67" s="9" t="s">
        <v>184</v>
      </c>
      <c r="H67" s="9" t="s">
        <v>234</v>
      </c>
      <c r="I67" s="10" t="n">
        <v>45859</v>
      </c>
      <c r="J67" s="9" t="s">
        <v>84</v>
      </c>
      <c r="K67" s="9" t="s">
        <v>354</v>
      </c>
      <c r="L67" s="9" t="s">
        <v>217</v>
      </c>
      <c r="M67" s="10"/>
    </row>
    <row r="68" customFormat="false" ht="15" hidden="false" customHeight="true" outlineLevel="0" collapsed="false">
      <c r="A68" s="9" t="s">
        <v>355</v>
      </c>
      <c r="B68" s="9" t="s">
        <v>95</v>
      </c>
      <c r="C68" s="9" t="s">
        <v>96</v>
      </c>
      <c r="D68" s="9" t="s">
        <v>97</v>
      </c>
      <c r="E68" s="9" t="s">
        <v>219</v>
      </c>
      <c r="F68" s="9" t="s">
        <v>220</v>
      </c>
      <c r="G68" s="9" t="s">
        <v>221</v>
      </c>
      <c r="H68" s="9" t="s">
        <v>215</v>
      </c>
      <c r="I68" s="10" t="n">
        <v>45926</v>
      </c>
      <c r="J68" s="9" t="s">
        <v>84</v>
      </c>
      <c r="K68" s="9" t="s">
        <v>356</v>
      </c>
      <c r="L68" s="9" t="s">
        <v>217</v>
      </c>
      <c r="M68" s="10"/>
    </row>
    <row r="69" customFormat="false" ht="15" hidden="false" customHeight="true" outlineLevel="0" collapsed="false">
      <c r="A69" s="9" t="s">
        <v>357</v>
      </c>
      <c r="B69" s="9" t="s">
        <v>95</v>
      </c>
      <c r="C69" s="9" t="s">
        <v>96</v>
      </c>
      <c r="D69" s="9" t="s">
        <v>97</v>
      </c>
      <c r="E69" s="9" t="s">
        <v>212</v>
      </c>
      <c r="F69" s="9" t="s">
        <v>213</v>
      </c>
      <c r="G69" s="9" t="s">
        <v>214</v>
      </c>
      <c r="H69" s="9" t="s">
        <v>215</v>
      </c>
      <c r="I69" s="10" t="n">
        <v>46081</v>
      </c>
      <c r="J69" s="9" t="s">
        <v>41</v>
      </c>
      <c r="K69" s="9" t="s">
        <v>358</v>
      </c>
      <c r="L69" s="9" t="s">
        <v>217</v>
      </c>
      <c r="M69" s="10"/>
    </row>
    <row r="70" customFormat="false" ht="15" hidden="false" customHeight="true" outlineLevel="0" collapsed="false">
      <c r="A70" s="9" t="s">
        <v>359</v>
      </c>
      <c r="B70" s="9" t="s">
        <v>98</v>
      </c>
      <c r="C70" s="9" t="s">
        <v>99</v>
      </c>
      <c r="D70" s="9" t="s">
        <v>60</v>
      </c>
      <c r="E70" s="9" t="s">
        <v>212</v>
      </c>
      <c r="F70" s="9" t="s">
        <v>213</v>
      </c>
      <c r="G70" s="9" t="s">
        <v>214</v>
      </c>
      <c r="H70" s="9" t="s">
        <v>215</v>
      </c>
      <c r="I70" s="10" t="n">
        <v>45247</v>
      </c>
      <c r="J70" s="9" t="s">
        <v>69</v>
      </c>
      <c r="K70" s="9" t="s">
        <v>360</v>
      </c>
      <c r="L70" s="9" t="s">
        <v>217</v>
      </c>
      <c r="M70" s="10"/>
    </row>
    <row r="71" customFormat="false" ht="15" hidden="false" customHeight="true" outlineLevel="0" collapsed="false">
      <c r="A71" s="9" t="s">
        <v>361</v>
      </c>
      <c r="B71" s="9" t="s">
        <v>98</v>
      </c>
      <c r="C71" s="9" t="s">
        <v>99</v>
      </c>
      <c r="D71" s="9" t="s">
        <v>60</v>
      </c>
      <c r="E71" s="9" t="s">
        <v>240</v>
      </c>
      <c r="F71" s="9" t="s">
        <v>169</v>
      </c>
      <c r="G71" s="9" t="s">
        <v>170</v>
      </c>
      <c r="H71" s="9" t="s">
        <v>234</v>
      </c>
      <c r="I71" s="10" t="n">
        <v>45523</v>
      </c>
      <c r="J71" s="9" t="s">
        <v>69</v>
      </c>
      <c r="K71" s="9" t="s">
        <v>362</v>
      </c>
      <c r="L71" s="9" t="s">
        <v>217</v>
      </c>
      <c r="M71" s="10"/>
    </row>
    <row r="72" customFormat="false" ht="15" hidden="false" customHeight="true" outlineLevel="0" collapsed="false">
      <c r="A72" s="9" t="s">
        <v>363</v>
      </c>
      <c r="B72" s="9" t="s">
        <v>98</v>
      </c>
      <c r="C72" s="9" t="s">
        <v>99</v>
      </c>
      <c r="D72" s="9" t="s">
        <v>60</v>
      </c>
      <c r="E72" s="9" t="s">
        <v>240</v>
      </c>
      <c r="F72" s="9" t="s">
        <v>167</v>
      </c>
      <c r="G72" s="9" t="s">
        <v>168</v>
      </c>
      <c r="H72" s="9" t="s">
        <v>234</v>
      </c>
      <c r="I72" s="10" t="n">
        <v>45856</v>
      </c>
      <c r="J72" s="9" t="s">
        <v>41</v>
      </c>
      <c r="K72" s="9" t="s">
        <v>364</v>
      </c>
      <c r="L72" s="9" t="s">
        <v>217</v>
      </c>
      <c r="M72" s="10"/>
    </row>
    <row r="73" customFormat="false" ht="15" hidden="false" customHeight="true" outlineLevel="0" collapsed="false">
      <c r="A73" s="9" t="s">
        <v>365</v>
      </c>
      <c r="B73" s="9" t="s">
        <v>100</v>
      </c>
      <c r="C73" s="9" t="s">
        <v>101</v>
      </c>
      <c r="D73" s="9" t="s">
        <v>68</v>
      </c>
      <c r="E73" s="9" t="s">
        <v>269</v>
      </c>
      <c r="F73" s="9" t="s">
        <v>197</v>
      </c>
      <c r="G73" s="9" t="s">
        <v>198</v>
      </c>
      <c r="H73" s="9" t="s">
        <v>226</v>
      </c>
      <c r="I73" s="10" t="n">
        <v>45199</v>
      </c>
      <c r="J73" s="9" t="s">
        <v>53</v>
      </c>
      <c r="K73" s="9"/>
      <c r="L73" s="9" t="s">
        <v>217</v>
      </c>
      <c r="M73" s="10"/>
    </row>
    <row r="74" customFormat="false" ht="15" hidden="false" customHeight="true" outlineLevel="0" collapsed="false">
      <c r="A74" s="9" t="s">
        <v>366</v>
      </c>
      <c r="B74" s="9" t="s">
        <v>100</v>
      </c>
      <c r="C74" s="9" t="s">
        <v>101</v>
      </c>
      <c r="D74" s="9" t="s">
        <v>68</v>
      </c>
      <c r="E74" s="9" t="s">
        <v>219</v>
      </c>
      <c r="F74" s="9" t="s">
        <v>220</v>
      </c>
      <c r="G74" s="9" t="s">
        <v>221</v>
      </c>
      <c r="H74" s="9" t="s">
        <v>215</v>
      </c>
      <c r="I74" s="10" t="n">
        <v>45509</v>
      </c>
      <c r="J74" s="9" t="s">
        <v>104</v>
      </c>
      <c r="K74" s="9" t="s">
        <v>367</v>
      </c>
      <c r="L74" s="9" t="s">
        <v>217</v>
      </c>
      <c r="M74" s="10"/>
    </row>
    <row r="75" customFormat="false" ht="15" hidden="false" customHeight="true" outlineLevel="0" collapsed="false">
      <c r="A75" s="9" t="s">
        <v>368</v>
      </c>
      <c r="B75" s="9" t="s">
        <v>100</v>
      </c>
      <c r="C75" s="9" t="s">
        <v>101</v>
      </c>
      <c r="D75" s="9" t="s">
        <v>68</v>
      </c>
      <c r="E75" s="9" t="s">
        <v>212</v>
      </c>
      <c r="F75" s="9" t="s">
        <v>213</v>
      </c>
      <c r="G75" s="9" t="s">
        <v>214</v>
      </c>
      <c r="H75" s="9" t="s">
        <v>215</v>
      </c>
      <c r="I75" s="10" t="n">
        <v>45339</v>
      </c>
      <c r="J75" s="9" t="s">
        <v>104</v>
      </c>
      <c r="K75" s="9" t="s">
        <v>369</v>
      </c>
      <c r="L75" s="9" t="s">
        <v>217</v>
      </c>
      <c r="M75" s="10"/>
    </row>
    <row r="76" customFormat="false" ht="15" hidden="false" customHeight="true" outlineLevel="0" collapsed="false">
      <c r="A76" s="9" t="s">
        <v>370</v>
      </c>
      <c r="B76" s="9" t="s">
        <v>100</v>
      </c>
      <c r="C76" s="9" t="s">
        <v>101</v>
      </c>
      <c r="D76" s="9" t="s">
        <v>68</v>
      </c>
      <c r="E76" s="9" t="s">
        <v>269</v>
      </c>
      <c r="F76" s="9" t="s">
        <v>195</v>
      </c>
      <c r="G76" s="9" t="s">
        <v>196</v>
      </c>
      <c r="H76" s="9" t="s">
        <v>234</v>
      </c>
      <c r="I76" s="10" t="n">
        <v>45539</v>
      </c>
      <c r="J76" s="9" t="s">
        <v>69</v>
      </c>
      <c r="K76" s="9" t="s">
        <v>371</v>
      </c>
      <c r="L76" s="9" t="s">
        <v>217</v>
      </c>
      <c r="M76" s="10"/>
    </row>
    <row r="77" customFormat="false" ht="15" hidden="false" customHeight="true" outlineLevel="0" collapsed="false">
      <c r="A77" s="9" t="s">
        <v>372</v>
      </c>
      <c r="B77" s="9" t="s">
        <v>102</v>
      </c>
      <c r="C77" s="9" t="s">
        <v>103</v>
      </c>
      <c r="D77" s="9" t="s">
        <v>65</v>
      </c>
      <c r="E77" s="9" t="s">
        <v>212</v>
      </c>
      <c r="F77" s="9" t="s">
        <v>213</v>
      </c>
      <c r="G77" s="9" t="s">
        <v>214</v>
      </c>
      <c r="H77" s="9" t="s">
        <v>215</v>
      </c>
      <c r="I77" s="10" t="n">
        <v>45034</v>
      </c>
      <c r="J77" s="9" t="s">
        <v>62</v>
      </c>
      <c r="K77" s="9" t="s">
        <v>373</v>
      </c>
      <c r="L77" s="9" t="s">
        <v>230</v>
      </c>
      <c r="M77" s="10" t="n">
        <v>46034</v>
      </c>
    </row>
    <row r="78" customFormat="false" ht="15" hidden="false" customHeight="true" outlineLevel="0" collapsed="false">
      <c r="A78" s="9" t="s">
        <v>374</v>
      </c>
      <c r="B78" s="9" t="s">
        <v>102</v>
      </c>
      <c r="C78" s="9" t="s">
        <v>103</v>
      </c>
      <c r="D78" s="9" t="s">
        <v>65</v>
      </c>
      <c r="E78" s="9" t="s">
        <v>219</v>
      </c>
      <c r="F78" s="9" t="s">
        <v>220</v>
      </c>
      <c r="G78" s="9" t="s">
        <v>221</v>
      </c>
      <c r="H78" s="9" t="s">
        <v>215</v>
      </c>
      <c r="I78" s="10" t="n">
        <v>45032</v>
      </c>
      <c r="J78" s="9" t="s">
        <v>104</v>
      </c>
      <c r="K78" s="9"/>
      <c r="L78" s="9" t="s">
        <v>230</v>
      </c>
      <c r="M78" s="10" t="n">
        <v>46034</v>
      </c>
    </row>
    <row r="79" customFormat="false" ht="15" hidden="false" customHeight="true" outlineLevel="0" collapsed="false">
      <c r="A79" s="9" t="s">
        <v>375</v>
      </c>
      <c r="B79" s="9" t="s">
        <v>105</v>
      </c>
      <c r="C79" s="9" t="s">
        <v>106</v>
      </c>
      <c r="D79" s="9" t="s">
        <v>60</v>
      </c>
      <c r="E79" s="9" t="s">
        <v>219</v>
      </c>
      <c r="F79" s="9" t="s">
        <v>220</v>
      </c>
      <c r="G79" s="9" t="s">
        <v>221</v>
      </c>
      <c r="H79" s="9" t="s">
        <v>215</v>
      </c>
      <c r="I79" s="10" t="n">
        <v>45178</v>
      </c>
      <c r="J79" s="9" t="s">
        <v>41</v>
      </c>
      <c r="K79" s="9" t="s">
        <v>376</v>
      </c>
      <c r="L79" s="9" t="s">
        <v>217</v>
      </c>
      <c r="M79" s="10"/>
    </row>
    <row r="80" customFormat="false" ht="15" hidden="false" customHeight="true" outlineLevel="0" collapsed="false">
      <c r="A80" s="9" t="s">
        <v>377</v>
      </c>
      <c r="B80" s="9" t="s">
        <v>105</v>
      </c>
      <c r="C80" s="9" t="s">
        <v>106</v>
      </c>
      <c r="D80" s="9" t="s">
        <v>60</v>
      </c>
      <c r="E80" s="9" t="s">
        <v>212</v>
      </c>
      <c r="F80" s="9" t="s">
        <v>213</v>
      </c>
      <c r="G80" s="9" t="s">
        <v>214</v>
      </c>
      <c r="H80" s="9" t="s">
        <v>215</v>
      </c>
      <c r="I80" s="10" t="n">
        <v>45270</v>
      </c>
      <c r="J80" s="9" t="s">
        <v>41</v>
      </c>
      <c r="K80" s="9" t="s">
        <v>378</v>
      </c>
      <c r="L80" s="9" t="s">
        <v>217</v>
      </c>
      <c r="M80" s="10"/>
    </row>
    <row r="81" customFormat="false" ht="15" hidden="false" customHeight="true" outlineLevel="0" collapsed="false">
      <c r="A81" s="9" t="s">
        <v>379</v>
      </c>
      <c r="B81" s="9" t="s">
        <v>105</v>
      </c>
      <c r="C81" s="9" t="s">
        <v>106</v>
      </c>
      <c r="D81" s="9" t="s">
        <v>60</v>
      </c>
      <c r="E81" s="9" t="s">
        <v>240</v>
      </c>
      <c r="F81" s="9" t="s">
        <v>169</v>
      </c>
      <c r="G81" s="9" t="s">
        <v>170</v>
      </c>
      <c r="H81" s="9" t="s">
        <v>234</v>
      </c>
      <c r="I81" s="10" t="n">
        <v>45074</v>
      </c>
      <c r="J81" s="9" t="s">
        <v>245</v>
      </c>
      <c r="K81" s="9" t="s">
        <v>380</v>
      </c>
      <c r="L81" s="9" t="s">
        <v>217</v>
      </c>
      <c r="M81" s="10"/>
    </row>
    <row r="82" customFormat="false" ht="15" hidden="false" customHeight="true" outlineLevel="0" collapsed="false">
      <c r="A82" s="9" t="s">
        <v>381</v>
      </c>
      <c r="B82" s="9" t="s">
        <v>107</v>
      </c>
      <c r="C82" s="9" t="s">
        <v>108</v>
      </c>
      <c r="D82" s="9" t="s">
        <v>65</v>
      </c>
      <c r="E82" s="9" t="s">
        <v>212</v>
      </c>
      <c r="F82" s="9" t="s">
        <v>213</v>
      </c>
      <c r="G82" s="9" t="s">
        <v>214</v>
      </c>
      <c r="H82" s="9" t="s">
        <v>215</v>
      </c>
      <c r="I82" s="10" t="n">
        <v>46130</v>
      </c>
      <c r="J82" s="9" t="s">
        <v>50</v>
      </c>
      <c r="K82" s="9" t="s">
        <v>382</v>
      </c>
      <c r="L82" s="9" t="s">
        <v>230</v>
      </c>
      <c r="M82" s="10" t="n">
        <v>46260</v>
      </c>
    </row>
    <row r="83" customFormat="false" ht="15" hidden="false" customHeight="true" outlineLevel="0" collapsed="false">
      <c r="A83" s="9" t="s">
        <v>383</v>
      </c>
      <c r="B83" s="9" t="s">
        <v>107</v>
      </c>
      <c r="C83" s="9" t="s">
        <v>108</v>
      </c>
      <c r="D83" s="9" t="s">
        <v>65</v>
      </c>
      <c r="E83" s="9" t="s">
        <v>264</v>
      </c>
      <c r="F83" s="9" t="s">
        <v>189</v>
      </c>
      <c r="G83" s="9" t="s">
        <v>190</v>
      </c>
      <c r="H83" s="9" t="s">
        <v>234</v>
      </c>
      <c r="I83" s="10" t="n">
        <v>45772</v>
      </c>
      <c r="J83" s="9" t="s">
        <v>45</v>
      </c>
      <c r="K83" s="9" t="s">
        <v>384</v>
      </c>
      <c r="L83" s="9" t="s">
        <v>230</v>
      </c>
      <c r="M83" s="10" t="n">
        <v>46262</v>
      </c>
    </row>
    <row r="84" customFormat="false" ht="15" hidden="false" customHeight="true" outlineLevel="0" collapsed="false">
      <c r="A84" s="9" t="s">
        <v>385</v>
      </c>
      <c r="B84" s="9" t="s">
        <v>107</v>
      </c>
      <c r="C84" s="9" t="s">
        <v>108</v>
      </c>
      <c r="D84" s="9" t="s">
        <v>65</v>
      </c>
      <c r="E84" s="9" t="s">
        <v>219</v>
      </c>
      <c r="F84" s="9" t="s">
        <v>220</v>
      </c>
      <c r="G84" s="9" t="s">
        <v>221</v>
      </c>
      <c r="H84" s="9" t="s">
        <v>215</v>
      </c>
      <c r="I84" s="10" t="n">
        <v>46169</v>
      </c>
      <c r="J84" s="9" t="s">
        <v>69</v>
      </c>
      <c r="K84" s="9" t="s">
        <v>386</v>
      </c>
      <c r="L84" s="9" t="s">
        <v>217</v>
      </c>
      <c r="M84" s="10"/>
    </row>
    <row r="85" customFormat="false" ht="15" hidden="false" customHeight="true" outlineLevel="0" collapsed="false">
      <c r="A85" s="9" t="s">
        <v>387</v>
      </c>
      <c r="B85" s="9" t="s">
        <v>109</v>
      </c>
      <c r="C85" s="9" t="s">
        <v>110</v>
      </c>
      <c r="D85" s="9" t="s">
        <v>48</v>
      </c>
      <c r="E85" s="9" t="s">
        <v>240</v>
      </c>
      <c r="F85" s="9" t="s">
        <v>173</v>
      </c>
      <c r="G85" s="9" t="s">
        <v>174</v>
      </c>
      <c r="H85" s="9" t="s">
        <v>234</v>
      </c>
      <c r="I85" s="10" t="n">
        <v>45550</v>
      </c>
      <c r="J85" s="9" t="s">
        <v>45</v>
      </c>
      <c r="K85" s="9" t="s">
        <v>388</v>
      </c>
      <c r="L85" s="9" t="s">
        <v>230</v>
      </c>
      <c r="M85" s="10" t="n">
        <v>45967</v>
      </c>
    </row>
    <row r="86" customFormat="false" ht="15" hidden="false" customHeight="true" outlineLevel="0" collapsed="false">
      <c r="A86" s="9" t="s">
        <v>389</v>
      </c>
      <c r="B86" s="9" t="s">
        <v>109</v>
      </c>
      <c r="C86" s="9" t="s">
        <v>110</v>
      </c>
      <c r="D86" s="9" t="s">
        <v>48</v>
      </c>
      <c r="E86" s="9" t="s">
        <v>219</v>
      </c>
      <c r="F86" s="9" t="s">
        <v>220</v>
      </c>
      <c r="G86" s="9" t="s">
        <v>221</v>
      </c>
      <c r="H86" s="9" t="s">
        <v>215</v>
      </c>
      <c r="I86" s="10" t="n">
        <v>45022</v>
      </c>
      <c r="J86" s="9" t="s">
        <v>45</v>
      </c>
      <c r="K86" s="9" t="s">
        <v>390</v>
      </c>
      <c r="L86" s="9" t="s">
        <v>217</v>
      </c>
      <c r="M86" s="10"/>
    </row>
    <row r="87" customFormat="false" ht="15" hidden="false" customHeight="true" outlineLevel="0" collapsed="false">
      <c r="A87" s="9" t="s">
        <v>391</v>
      </c>
      <c r="B87" s="9" t="s">
        <v>109</v>
      </c>
      <c r="C87" s="9" t="s">
        <v>110</v>
      </c>
      <c r="D87" s="9" t="s">
        <v>48</v>
      </c>
      <c r="E87" s="9" t="s">
        <v>212</v>
      </c>
      <c r="F87" s="9" t="s">
        <v>213</v>
      </c>
      <c r="G87" s="9" t="s">
        <v>214</v>
      </c>
      <c r="H87" s="9" t="s">
        <v>215</v>
      </c>
      <c r="I87" s="10" t="n">
        <v>45779</v>
      </c>
      <c r="J87" s="9" t="s">
        <v>53</v>
      </c>
      <c r="K87" s="9" t="s">
        <v>392</v>
      </c>
      <c r="L87" s="9" t="s">
        <v>217</v>
      </c>
      <c r="M87" s="10"/>
    </row>
    <row r="88" customFormat="false" ht="15" hidden="false" customHeight="true" outlineLevel="0" collapsed="false">
      <c r="A88" s="9" t="s">
        <v>393</v>
      </c>
      <c r="B88" s="9" t="s">
        <v>109</v>
      </c>
      <c r="C88" s="9" t="s">
        <v>110</v>
      </c>
      <c r="D88" s="9" t="s">
        <v>48</v>
      </c>
      <c r="E88" s="9" t="s">
        <v>269</v>
      </c>
      <c r="F88" s="9" t="s">
        <v>195</v>
      </c>
      <c r="G88" s="9" t="s">
        <v>196</v>
      </c>
      <c r="H88" s="9" t="s">
        <v>234</v>
      </c>
      <c r="I88" s="10" t="n">
        <v>45649</v>
      </c>
      <c r="J88" s="9" t="s">
        <v>104</v>
      </c>
      <c r="K88" s="9" t="s">
        <v>394</v>
      </c>
      <c r="L88" s="9" t="s">
        <v>217</v>
      </c>
      <c r="M88" s="10"/>
    </row>
    <row r="89" customFormat="false" ht="15" hidden="false" customHeight="true" outlineLevel="0" collapsed="false">
      <c r="A89" s="9" t="s">
        <v>395</v>
      </c>
      <c r="B89" s="9" t="s">
        <v>109</v>
      </c>
      <c r="C89" s="9" t="s">
        <v>110</v>
      </c>
      <c r="D89" s="9" t="s">
        <v>48</v>
      </c>
      <c r="E89" s="9" t="s">
        <v>269</v>
      </c>
      <c r="F89" s="9" t="s">
        <v>197</v>
      </c>
      <c r="G89" s="9" t="s">
        <v>198</v>
      </c>
      <c r="H89" s="9" t="s">
        <v>226</v>
      </c>
      <c r="I89" s="10" t="n">
        <v>45176</v>
      </c>
      <c r="J89" s="9" t="s">
        <v>135</v>
      </c>
      <c r="K89" s="9" t="s">
        <v>396</v>
      </c>
      <c r="L89" s="9" t="s">
        <v>217</v>
      </c>
      <c r="M89" s="10"/>
    </row>
    <row r="90" customFormat="false" ht="15" hidden="false" customHeight="true" outlineLevel="0" collapsed="false">
      <c r="A90" s="9" t="s">
        <v>397</v>
      </c>
      <c r="B90" s="9" t="s">
        <v>111</v>
      </c>
      <c r="C90" s="9" t="s">
        <v>112</v>
      </c>
      <c r="D90" s="9" t="s">
        <v>48</v>
      </c>
      <c r="E90" s="9" t="s">
        <v>212</v>
      </c>
      <c r="F90" s="9" t="s">
        <v>213</v>
      </c>
      <c r="G90" s="9" t="s">
        <v>214</v>
      </c>
      <c r="H90" s="9" t="s">
        <v>215</v>
      </c>
      <c r="I90" s="10" t="n">
        <v>46121</v>
      </c>
      <c r="J90" s="9" t="s">
        <v>50</v>
      </c>
      <c r="K90" s="9" t="s">
        <v>398</v>
      </c>
      <c r="L90" s="9" t="s">
        <v>217</v>
      </c>
      <c r="M90" s="10"/>
    </row>
    <row r="91" customFormat="false" ht="15" hidden="false" customHeight="true" outlineLevel="0" collapsed="false">
      <c r="A91" s="9" t="s">
        <v>399</v>
      </c>
      <c r="B91" s="9" t="s">
        <v>111</v>
      </c>
      <c r="C91" s="9" t="s">
        <v>112</v>
      </c>
      <c r="D91" s="9" t="s">
        <v>48</v>
      </c>
      <c r="E91" s="9" t="s">
        <v>240</v>
      </c>
      <c r="F91" s="9" t="s">
        <v>167</v>
      </c>
      <c r="G91" s="9" t="s">
        <v>168</v>
      </c>
      <c r="H91" s="9" t="s">
        <v>234</v>
      </c>
      <c r="I91" s="10" t="n">
        <v>45620</v>
      </c>
      <c r="J91" s="9" t="s">
        <v>62</v>
      </c>
      <c r="K91" s="9" t="s">
        <v>400</v>
      </c>
      <c r="L91" s="9" t="s">
        <v>230</v>
      </c>
      <c r="M91" s="10" t="n">
        <v>45890</v>
      </c>
    </row>
    <row r="92" customFormat="false" ht="15" hidden="false" customHeight="true" outlineLevel="0" collapsed="false">
      <c r="A92" s="9" t="s">
        <v>401</v>
      </c>
      <c r="B92" s="9" t="s">
        <v>111</v>
      </c>
      <c r="C92" s="9" t="s">
        <v>112</v>
      </c>
      <c r="D92" s="9" t="s">
        <v>48</v>
      </c>
      <c r="E92" s="9" t="s">
        <v>240</v>
      </c>
      <c r="F92" s="9" t="s">
        <v>173</v>
      </c>
      <c r="G92" s="9" t="s">
        <v>174</v>
      </c>
      <c r="H92" s="9" t="s">
        <v>234</v>
      </c>
      <c r="I92" s="10" t="n">
        <v>45772</v>
      </c>
      <c r="J92" s="9" t="s">
        <v>50</v>
      </c>
      <c r="K92" s="9" t="s">
        <v>402</v>
      </c>
      <c r="L92" s="9" t="s">
        <v>230</v>
      </c>
      <c r="M92" s="10" t="n">
        <v>45892</v>
      </c>
    </row>
    <row r="93" customFormat="false" ht="15" hidden="false" customHeight="true" outlineLevel="0" collapsed="false">
      <c r="A93" s="9" t="s">
        <v>403</v>
      </c>
      <c r="B93" s="9" t="s">
        <v>111</v>
      </c>
      <c r="C93" s="9" t="s">
        <v>112</v>
      </c>
      <c r="D93" s="9" t="s">
        <v>48</v>
      </c>
      <c r="E93" s="9" t="s">
        <v>219</v>
      </c>
      <c r="F93" s="9" t="s">
        <v>220</v>
      </c>
      <c r="G93" s="9" t="s">
        <v>221</v>
      </c>
      <c r="H93" s="9" t="s">
        <v>215</v>
      </c>
      <c r="I93" s="10" t="n">
        <v>45701</v>
      </c>
      <c r="J93" s="9" t="s">
        <v>135</v>
      </c>
      <c r="K93" s="9" t="s">
        <v>404</v>
      </c>
      <c r="L93" s="9" t="s">
        <v>230</v>
      </c>
      <c r="M93" s="10" t="n">
        <v>45890</v>
      </c>
    </row>
    <row r="94" customFormat="false" ht="15" hidden="false" customHeight="true" outlineLevel="0" collapsed="false">
      <c r="A94" s="9" t="s">
        <v>405</v>
      </c>
      <c r="B94" s="9" t="s">
        <v>113</v>
      </c>
      <c r="C94" s="9" t="s">
        <v>114</v>
      </c>
      <c r="D94" s="9" t="s">
        <v>48</v>
      </c>
      <c r="E94" s="9" t="s">
        <v>240</v>
      </c>
      <c r="F94" s="9" t="s">
        <v>173</v>
      </c>
      <c r="G94" s="9" t="s">
        <v>174</v>
      </c>
      <c r="H94" s="9" t="s">
        <v>234</v>
      </c>
      <c r="I94" s="10" t="n">
        <v>45411</v>
      </c>
      <c r="J94" s="9" t="s">
        <v>84</v>
      </c>
      <c r="K94" s="9" t="s">
        <v>406</v>
      </c>
      <c r="L94" s="9" t="s">
        <v>217</v>
      </c>
      <c r="M94" s="10"/>
    </row>
    <row r="95" customFormat="false" ht="15" hidden="false" customHeight="true" outlineLevel="0" collapsed="false">
      <c r="A95" s="9" t="s">
        <v>407</v>
      </c>
      <c r="B95" s="9" t="s">
        <v>113</v>
      </c>
      <c r="C95" s="9" t="s">
        <v>114</v>
      </c>
      <c r="D95" s="9" t="s">
        <v>48</v>
      </c>
      <c r="E95" s="9" t="s">
        <v>240</v>
      </c>
      <c r="F95" s="9" t="s">
        <v>167</v>
      </c>
      <c r="G95" s="9" t="s">
        <v>168</v>
      </c>
      <c r="H95" s="9" t="s">
        <v>234</v>
      </c>
      <c r="I95" s="10" t="n">
        <v>45594</v>
      </c>
      <c r="J95" s="9" t="s">
        <v>53</v>
      </c>
      <c r="K95" s="9" t="s">
        <v>408</v>
      </c>
      <c r="L95" s="9" t="s">
        <v>217</v>
      </c>
      <c r="M95" s="10"/>
    </row>
    <row r="96" customFormat="false" ht="15" hidden="false" customHeight="true" outlineLevel="0" collapsed="false">
      <c r="A96" s="9" t="s">
        <v>409</v>
      </c>
      <c r="B96" s="9" t="s">
        <v>113</v>
      </c>
      <c r="C96" s="9" t="s">
        <v>114</v>
      </c>
      <c r="D96" s="9" t="s">
        <v>48</v>
      </c>
      <c r="E96" s="9" t="s">
        <v>212</v>
      </c>
      <c r="F96" s="9" t="s">
        <v>213</v>
      </c>
      <c r="G96" s="9" t="s">
        <v>214</v>
      </c>
      <c r="H96" s="9" t="s">
        <v>215</v>
      </c>
      <c r="I96" s="10" t="n">
        <v>45531</v>
      </c>
      <c r="J96" s="9" t="s">
        <v>57</v>
      </c>
      <c r="K96" s="9" t="s">
        <v>410</v>
      </c>
      <c r="L96" s="9" t="s">
        <v>217</v>
      </c>
      <c r="M96" s="10"/>
    </row>
    <row r="97" customFormat="false" ht="15" hidden="false" customHeight="true" outlineLevel="0" collapsed="false">
      <c r="A97" s="9" t="s">
        <v>411</v>
      </c>
      <c r="B97" s="9" t="s">
        <v>113</v>
      </c>
      <c r="C97" s="9" t="s">
        <v>114</v>
      </c>
      <c r="D97" s="9" t="s">
        <v>48</v>
      </c>
      <c r="E97" s="9" t="s">
        <v>219</v>
      </c>
      <c r="F97" s="9" t="s">
        <v>220</v>
      </c>
      <c r="G97" s="9" t="s">
        <v>221</v>
      </c>
      <c r="H97" s="9" t="s">
        <v>215</v>
      </c>
      <c r="I97" s="10" t="n">
        <v>45465</v>
      </c>
      <c r="J97" s="9" t="s">
        <v>135</v>
      </c>
      <c r="K97" s="9" t="s">
        <v>412</v>
      </c>
      <c r="L97" s="9" t="s">
        <v>217</v>
      </c>
      <c r="M97" s="10"/>
    </row>
    <row r="98" customFormat="false" ht="15" hidden="false" customHeight="true" outlineLevel="0" collapsed="false">
      <c r="A98" s="9" t="s">
        <v>413</v>
      </c>
      <c r="B98" s="9" t="s">
        <v>115</v>
      </c>
      <c r="C98" s="9" t="s">
        <v>116</v>
      </c>
      <c r="D98" s="9" t="s">
        <v>81</v>
      </c>
      <c r="E98" s="9" t="s">
        <v>240</v>
      </c>
      <c r="F98" s="9" t="s">
        <v>179</v>
      </c>
      <c r="G98" s="9" t="s">
        <v>180</v>
      </c>
      <c r="H98" s="9" t="s">
        <v>226</v>
      </c>
      <c r="I98" s="10" t="n">
        <v>45741</v>
      </c>
      <c r="J98" s="9" t="s">
        <v>245</v>
      </c>
      <c r="K98" s="9" t="s">
        <v>414</v>
      </c>
      <c r="L98" s="9" t="s">
        <v>230</v>
      </c>
      <c r="M98" s="10" t="n">
        <v>45905</v>
      </c>
    </row>
    <row r="99" customFormat="false" ht="15" hidden="false" customHeight="true" outlineLevel="0" collapsed="false">
      <c r="A99" s="9" t="s">
        <v>415</v>
      </c>
      <c r="B99" s="9" t="s">
        <v>115</v>
      </c>
      <c r="C99" s="9" t="s">
        <v>116</v>
      </c>
      <c r="D99" s="9" t="s">
        <v>81</v>
      </c>
      <c r="E99" s="9" t="s">
        <v>240</v>
      </c>
      <c r="F99" s="9" t="s">
        <v>167</v>
      </c>
      <c r="G99" s="9" t="s">
        <v>168</v>
      </c>
      <c r="H99" s="9" t="s">
        <v>234</v>
      </c>
      <c r="I99" s="10" t="n">
        <v>45705</v>
      </c>
      <c r="J99" s="9" t="s">
        <v>57</v>
      </c>
      <c r="K99" s="9" t="s">
        <v>416</v>
      </c>
      <c r="L99" s="9" t="s">
        <v>230</v>
      </c>
      <c r="M99" s="10" t="n">
        <v>45905</v>
      </c>
    </row>
    <row r="100" customFormat="false" ht="15" hidden="false" customHeight="true" outlineLevel="0" collapsed="false">
      <c r="A100" s="9" t="s">
        <v>417</v>
      </c>
      <c r="B100" s="9" t="s">
        <v>115</v>
      </c>
      <c r="C100" s="9" t="s">
        <v>116</v>
      </c>
      <c r="D100" s="9" t="s">
        <v>81</v>
      </c>
      <c r="E100" s="9" t="s">
        <v>212</v>
      </c>
      <c r="F100" s="9" t="s">
        <v>213</v>
      </c>
      <c r="G100" s="9" t="s">
        <v>214</v>
      </c>
      <c r="H100" s="9" t="s">
        <v>215</v>
      </c>
      <c r="I100" s="10" t="n">
        <v>45000</v>
      </c>
      <c r="J100" s="9" t="s">
        <v>62</v>
      </c>
      <c r="K100" s="9" t="s">
        <v>418</v>
      </c>
      <c r="L100" s="9" t="s">
        <v>230</v>
      </c>
      <c r="M100" s="10" t="n">
        <v>45904</v>
      </c>
    </row>
    <row r="101" customFormat="false" ht="15" hidden="false" customHeight="true" outlineLevel="0" collapsed="false">
      <c r="A101" s="9" t="s">
        <v>419</v>
      </c>
      <c r="B101" s="9" t="s">
        <v>115</v>
      </c>
      <c r="C101" s="9" t="s">
        <v>116</v>
      </c>
      <c r="D101" s="9" t="s">
        <v>81</v>
      </c>
      <c r="E101" s="9" t="s">
        <v>219</v>
      </c>
      <c r="F101" s="9" t="s">
        <v>220</v>
      </c>
      <c r="G101" s="9" t="s">
        <v>221</v>
      </c>
      <c r="H101" s="9" t="s">
        <v>215</v>
      </c>
      <c r="I101" s="10" t="n">
        <v>45392</v>
      </c>
      <c r="J101" s="9" t="s">
        <v>41</v>
      </c>
      <c r="K101" s="9" t="s">
        <v>420</v>
      </c>
      <c r="L101" s="9" t="s">
        <v>230</v>
      </c>
      <c r="M101" s="10" t="n">
        <v>45906</v>
      </c>
    </row>
    <row r="102" customFormat="false" ht="15" hidden="false" customHeight="true" outlineLevel="0" collapsed="false">
      <c r="A102" s="9" t="s">
        <v>421</v>
      </c>
      <c r="B102" s="9" t="s">
        <v>117</v>
      </c>
      <c r="C102" s="9" t="s">
        <v>118</v>
      </c>
      <c r="D102" s="9" t="s">
        <v>48</v>
      </c>
      <c r="E102" s="9" t="s">
        <v>240</v>
      </c>
      <c r="F102" s="9" t="s">
        <v>173</v>
      </c>
      <c r="G102" s="9" t="s">
        <v>174</v>
      </c>
      <c r="H102" s="9" t="s">
        <v>234</v>
      </c>
      <c r="I102" s="10" t="n">
        <v>44956</v>
      </c>
      <c r="J102" s="9" t="s">
        <v>69</v>
      </c>
      <c r="K102" s="9" t="s">
        <v>422</v>
      </c>
      <c r="L102" s="9" t="s">
        <v>217</v>
      </c>
      <c r="M102" s="10"/>
    </row>
    <row r="103" customFormat="false" ht="15" hidden="false" customHeight="true" outlineLevel="0" collapsed="false">
      <c r="A103" s="9" t="s">
        <v>423</v>
      </c>
      <c r="B103" s="9" t="s">
        <v>117</v>
      </c>
      <c r="C103" s="9" t="s">
        <v>118</v>
      </c>
      <c r="D103" s="9" t="s">
        <v>48</v>
      </c>
      <c r="E103" s="9" t="s">
        <v>240</v>
      </c>
      <c r="F103" s="9" t="s">
        <v>167</v>
      </c>
      <c r="G103" s="9" t="s">
        <v>168</v>
      </c>
      <c r="H103" s="9" t="s">
        <v>234</v>
      </c>
      <c r="I103" s="10" t="n">
        <v>45310</v>
      </c>
      <c r="J103" s="9" t="s">
        <v>84</v>
      </c>
      <c r="K103" s="9" t="s">
        <v>424</v>
      </c>
      <c r="L103" s="9" t="s">
        <v>217</v>
      </c>
      <c r="M103" s="10"/>
    </row>
    <row r="104" customFormat="false" ht="15" hidden="false" customHeight="true" outlineLevel="0" collapsed="false">
      <c r="A104" s="9" t="s">
        <v>425</v>
      </c>
      <c r="B104" s="9" t="s">
        <v>119</v>
      </c>
      <c r="C104" s="9" t="s">
        <v>120</v>
      </c>
      <c r="D104" s="9" t="s">
        <v>65</v>
      </c>
      <c r="E104" s="9" t="s">
        <v>212</v>
      </c>
      <c r="F104" s="9" t="s">
        <v>213</v>
      </c>
      <c r="G104" s="9" t="s">
        <v>214</v>
      </c>
      <c r="H104" s="9" t="s">
        <v>215</v>
      </c>
      <c r="I104" s="10" t="n">
        <v>45626</v>
      </c>
      <c r="J104" s="9" t="s">
        <v>135</v>
      </c>
      <c r="K104" s="9" t="s">
        <v>426</v>
      </c>
      <c r="L104" s="9" t="s">
        <v>217</v>
      </c>
      <c r="M104" s="10"/>
    </row>
    <row r="105" customFormat="false" ht="15" hidden="false" customHeight="true" outlineLevel="0" collapsed="false">
      <c r="A105" s="9" t="s">
        <v>427</v>
      </c>
      <c r="B105" s="9" t="s">
        <v>119</v>
      </c>
      <c r="C105" s="9" t="s">
        <v>120</v>
      </c>
      <c r="D105" s="9" t="s">
        <v>65</v>
      </c>
      <c r="E105" s="9" t="s">
        <v>219</v>
      </c>
      <c r="F105" s="9" t="s">
        <v>220</v>
      </c>
      <c r="G105" s="9" t="s">
        <v>221</v>
      </c>
      <c r="H105" s="9" t="s">
        <v>215</v>
      </c>
      <c r="I105" s="10" t="n">
        <v>45653</v>
      </c>
      <c r="J105" s="9" t="s">
        <v>135</v>
      </c>
      <c r="K105" s="9" t="s">
        <v>428</v>
      </c>
      <c r="L105" s="9" t="s">
        <v>217</v>
      </c>
      <c r="M105" s="10"/>
    </row>
    <row r="106" customFormat="false" ht="15" hidden="false" customHeight="true" outlineLevel="0" collapsed="false">
      <c r="A106" s="9" t="s">
        <v>429</v>
      </c>
      <c r="B106" s="9" t="s">
        <v>119</v>
      </c>
      <c r="C106" s="9" t="s">
        <v>120</v>
      </c>
      <c r="D106" s="9" t="s">
        <v>65</v>
      </c>
      <c r="E106" s="9" t="s">
        <v>264</v>
      </c>
      <c r="F106" s="9" t="s">
        <v>189</v>
      </c>
      <c r="G106" s="9" t="s">
        <v>190</v>
      </c>
      <c r="H106" s="9" t="s">
        <v>234</v>
      </c>
      <c r="I106" s="10" t="n">
        <v>46085</v>
      </c>
      <c r="J106" s="9" t="s">
        <v>104</v>
      </c>
      <c r="K106" s="9" t="s">
        <v>430</v>
      </c>
      <c r="L106" s="9" t="s">
        <v>217</v>
      </c>
      <c r="M106" s="10"/>
    </row>
    <row r="107" customFormat="false" ht="15" hidden="false" customHeight="true" outlineLevel="0" collapsed="false">
      <c r="A107" s="9" t="s">
        <v>431</v>
      </c>
      <c r="B107" s="9" t="s">
        <v>119</v>
      </c>
      <c r="C107" s="9" t="s">
        <v>120</v>
      </c>
      <c r="D107" s="9" t="s">
        <v>65</v>
      </c>
      <c r="E107" s="9" t="s">
        <v>219</v>
      </c>
      <c r="F107" s="9" t="s">
        <v>183</v>
      </c>
      <c r="G107" s="9" t="s">
        <v>184</v>
      </c>
      <c r="H107" s="9" t="s">
        <v>234</v>
      </c>
      <c r="I107" s="10" t="n">
        <v>45840</v>
      </c>
      <c r="J107" s="9" t="s">
        <v>62</v>
      </c>
      <c r="K107" s="9" t="s">
        <v>432</v>
      </c>
      <c r="L107" s="9" t="s">
        <v>217</v>
      </c>
      <c r="M107" s="10"/>
    </row>
    <row r="108" customFormat="false" ht="15" hidden="false" customHeight="true" outlineLevel="0" collapsed="false">
      <c r="A108" s="9" t="s">
        <v>433</v>
      </c>
      <c r="B108" s="9" t="s">
        <v>119</v>
      </c>
      <c r="C108" s="9" t="s">
        <v>120</v>
      </c>
      <c r="D108" s="9" t="s">
        <v>65</v>
      </c>
      <c r="E108" s="9" t="s">
        <v>219</v>
      </c>
      <c r="F108" s="9" t="s">
        <v>185</v>
      </c>
      <c r="G108" s="9" t="s">
        <v>186</v>
      </c>
      <c r="H108" s="9" t="s">
        <v>226</v>
      </c>
      <c r="I108" s="10" t="n">
        <v>45645</v>
      </c>
      <c r="J108" s="9" t="s">
        <v>135</v>
      </c>
      <c r="K108" s="9" t="s">
        <v>434</v>
      </c>
      <c r="L108" s="9" t="s">
        <v>217</v>
      </c>
      <c r="M108" s="10"/>
    </row>
    <row r="109" customFormat="false" ht="15" hidden="false" customHeight="true" outlineLevel="0" collapsed="false">
      <c r="A109" s="9" t="s">
        <v>435</v>
      </c>
      <c r="B109" s="9" t="s">
        <v>121</v>
      </c>
      <c r="C109" s="9" t="s">
        <v>122</v>
      </c>
      <c r="D109" s="9" t="s">
        <v>44</v>
      </c>
      <c r="E109" s="9" t="s">
        <v>219</v>
      </c>
      <c r="F109" s="9" t="s">
        <v>183</v>
      </c>
      <c r="G109" s="9" t="s">
        <v>184</v>
      </c>
      <c r="H109" s="9" t="s">
        <v>234</v>
      </c>
      <c r="I109" s="10" t="n">
        <v>45754</v>
      </c>
      <c r="J109" s="9" t="s">
        <v>104</v>
      </c>
      <c r="K109" s="9" t="s">
        <v>436</v>
      </c>
      <c r="L109" s="9" t="s">
        <v>217</v>
      </c>
      <c r="M109" s="10"/>
    </row>
    <row r="110" customFormat="false" ht="15" hidden="false" customHeight="true" outlineLevel="0" collapsed="false">
      <c r="A110" s="9" t="s">
        <v>437</v>
      </c>
      <c r="B110" s="9" t="s">
        <v>121</v>
      </c>
      <c r="C110" s="9" t="s">
        <v>122</v>
      </c>
      <c r="D110" s="9" t="s">
        <v>44</v>
      </c>
      <c r="E110" s="9" t="s">
        <v>219</v>
      </c>
      <c r="F110" s="9" t="s">
        <v>220</v>
      </c>
      <c r="G110" s="9" t="s">
        <v>221</v>
      </c>
      <c r="H110" s="9" t="s">
        <v>215</v>
      </c>
      <c r="I110" s="10" t="n">
        <v>45711</v>
      </c>
      <c r="J110" s="9" t="s">
        <v>69</v>
      </c>
      <c r="K110" s="9" t="s">
        <v>438</v>
      </c>
      <c r="L110" s="9" t="s">
        <v>217</v>
      </c>
      <c r="M110" s="10"/>
    </row>
    <row r="111" customFormat="false" ht="15" hidden="false" customHeight="true" outlineLevel="0" collapsed="false">
      <c r="A111" s="9" t="s">
        <v>439</v>
      </c>
      <c r="B111" s="9" t="s">
        <v>121</v>
      </c>
      <c r="C111" s="9" t="s">
        <v>122</v>
      </c>
      <c r="D111" s="9" t="s">
        <v>44</v>
      </c>
      <c r="E111" s="9" t="s">
        <v>212</v>
      </c>
      <c r="F111" s="9" t="s">
        <v>213</v>
      </c>
      <c r="G111" s="9" t="s">
        <v>214</v>
      </c>
      <c r="H111" s="9" t="s">
        <v>215</v>
      </c>
      <c r="I111" s="10" t="n">
        <v>45249</v>
      </c>
      <c r="J111" s="9" t="s">
        <v>62</v>
      </c>
      <c r="K111" s="9" t="s">
        <v>440</v>
      </c>
      <c r="L111" s="9" t="s">
        <v>217</v>
      </c>
      <c r="M111" s="10"/>
    </row>
    <row r="112" customFormat="false" ht="15" hidden="false" customHeight="true" outlineLevel="0" collapsed="false">
      <c r="A112" s="9" t="s">
        <v>441</v>
      </c>
      <c r="B112" s="9" t="s">
        <v>123</v>
      </c>
      <c r="C112" s="9" t="s">
        <v>124</v>
      </c>
      <c r="D112" s="9" t="s">
        <v>44</v>
      </c>
      <c r="E112" s="9" t="s">
        <v>219</v>
      </c>
      <c r="F112" s="9" t="s">
        <v>185</v>
      </c>
      <c r="G112" s="9" t="s">
        <v>186</v>
      </c>
      <c r="H112" s="9" t="s">
        <v>226</v>
      </c>
      <c r="I112" s="10" t="n">
        <v>46198</v>
      </c>
      <c r="J112" s="9" t="s">
        <v>104</v>
      </c>
      <c r="K112" s="9" t="s">
        <v>442</v>
      </c>
      <c r="L112" s="9" t="s">
        <v>217</v>
      </c>
      <c r="M112" s="10"/>
    </row>
    <row r="113" customFormat="false" ht="15" hidden="false" customHeight="true" outlineLevel="0" collapsed="false">
      <c r="A113" s="9" t="s">
        <v>443</v>
      </c>
      <c r="B113" s="9" t="s">
        <v>123</v>
      </c>
      <c r="C113" s="9" t="s">
        <v>124</v>
      </c>
      <c r="D113" s="9" t="s">
        <v>44</v>
      </c>
      <c r="E113" s="9" t="s">
        <v>219</v>
      </c>
      <c r="F113" s="9" t="s">
        <v>183</v>
      </c>
      <c r="G113" s="9" t="s">
        <v>184</v>
      </c>
      <c r="H113" s="9" t="s">
        <v>234</v>
      </c>
      <c r="I113" s="10" t="n">
        <v>45207</v>
      </c>
      <c r="J113" s="9" t="s">
        <v>245</v>
      </c>
      <c r="K113" s="9" t="s">
        <v>444</v>
      </c>
      <c r="L113" s="9" t="s">
        <v>217</v>
      </c>
      <c r="M113" s="10"/>
    </row>
    <row r="114" customFormat="false" ht="15" hidden="false" customHeight="true" outlineLevel="0" collapsed="false">
      <c r="A114" s="9" t="s">
        <v>445</v>
      </c>
      <c r="B114" s="9" t="s">
        <v>125</v>
      </c>
      <c r="C114" s="9" t="s">
        <v>126</v>
      </c>
      <c r="D114" s="9" t="s">
        <v>48</v>
      </c>
      <c r="E114" s="9" t="s">
        <v>240</v>
      </c>
      <c r="F114" s="9" t="s">
        <v>173</v>
      </c>
      <c r="G114" s="9" t="s">
        <v>174</v>
      </c>
      <c r="H114" s="9" t="s">
        <v>234</v>
      </c>
      <c r="I114" s="10" t="n">
        <v>45395</v>
      </c>
      <c r="J114" s="9" t="s">
        <v>104</v>
      </c>
      <c r="K114" s="9" t="s">
        <v>446</v>
      </c>
      <c r="L114" s="9" t="s">
        <v>217</v>
      </c>
      <c r="M114" s="10"/>
    </row>
    <row r="115" customFormat="false" ht="15" hidden="false" customHeight="true" outlineLevel="0" collapsed="false">
      <c r="A115" s="9" t="s">
        <v>447</v>
      </c>
      <c r="B115" s="9" t="s">
        <v>125</v>
      </c>
      <c r="C115" s="9" t="s">
        <v>126</v>
      </c>
      <c r="D115" s="9" t="s">
        <v>48</v>
      </c>
      <c r="E115" s="9" t="s">
        <v>240</v>
      </c>
      <c r="F115" s="9" t="s">
        <v>167</v>
      </c>
      <c r="G115" s="9" t="s">
        <v>168</v>
      </c>
      <c r="H115" s="9" t="s">
        <v>234</v>
      </c>
      <c r="I115" s="10" t="n">
        <v>45438</v>
      </c>
      <c r="J115" s="9" t="s">
        <v>50</v>
      </c>
      <c r="K115" s="9" t="s">
        <v>448</v>
      </c>
      <c r="L115" s="9" t="s">
        <v>230</v>
      </c>
      <c r="M115" s="10" t="n">
        <v>45847</v>
      </c>
    </row>
    <row r="116" customFormat="false" ht="15" hidden="false" customHeight="true" outlineLevel="0" collapsed="false">
      <c r="A116" s="9" t="s">
        <v>449</v>
      </c>
      <c r="B116" s="9" t="s">
        <v>125</v>
      </c>
      <c r="C116" s="9" t="s">
        <v>126</v>
      </c>
      <c r="D116" s="9" t="s">
        <v>48</v>
      </c>
      <c r="E116" s="9" t="s">
        <v>212</v>
      </c>
      <c r="F116" s="9" t="s">
        <v>213</v>
      </c>
      <c r="G116" s="9" t="s">
        <v>214</v>
      </c>
      <c r="H116" s="9" t="s">
        <v>215</v>
      </c>
      <c r="I116" s="10" t="n">
        <v>45566</v>
      </c>
      <c r="J116" s="9" t="s">
        <v>135</v>
      </c>
      <c r="K116" s="9" t="s">
        <v>450</v>
      </c>
      <c r="L116" s="9" t="s">
        <v>217</v>
      </c>
      <c r="M116" s="10"/>
    </row>
    <row r="117" customFormat="false" ht="15" hidden="false" customHeight="true" outlineLevel="0" collapsed="false">
      <c r="A117" s="9" t="s">
        <v>451</v>
      </c>
      <c r="B117" s="9" t="s">
        <v>127</v>
      </c>
      <c r="C117" s="9" t="s">
        <v>128</v>
      </c>
      <c r="D117" s="9" t="s">
        <v>60</v>
      </c>
      <c r="E117" s="9" t="s">
        <v>240</v>
      </c>
      <c r="F117" s="9" t="s">
        <v>173</v>
      </c>
      <c r="G117" s="9" t="s">
        <v>174</v>
      </c>
      <c r="H117" s="9" t="s">
        <v>234</v>
      </c>
      <c r="I117" s="10" t="n">
        <v>46161</v>
      </c>
      <c r="J117" s="9" t="s">
        <v>245</v>
      </c>
      <c r="K117" s="9" t="s">
        <v>452</v>
      </c>
      <c r="L117" s="9" t="s">
        <v>217</v>
      </c>
      <c r="M117" s="10"/>
    </row>
    <row r="118" customFormat="false" ht="15" hidden="false" customHeight="true" outlineLevel="0" collapsed="false">
      <c r="A118" s="9" t="s">
        <v>453</v>
      </c>
      <c r="B118" s="9" t="s">
        <v>127</v>
      </c>
      <c r="C118" s="9" t="s">
        <v>128</v>
      </c>
      <c r="D118" s="9" t="s">
        <v>60</v>
      </c>
      <c r="E118" s="9" t="s">
        <v>240</v>
      </c>
      <c r="F118" s="9" t="s">
        <v>167</v>
      </c>
      <c r="G118" s="9" t="s">
        <v>168</v>
      </c>
      <c r="H118" s="9" t="s">
        <v>234</v>
      </c>
      <c r="I118" s="10" t="n">
        <v>46104</v>
      </c>
      <c r="J118" s="9"/>
      <c r="K118" s="9" t="s">
        <v>454</v>
      </c>
      <c r="L118" s="9" t="s">
        <v>217</v>
      </c>
      <c r="M118" s="10"/>
    </row>
    <row r="119" customFormat="false" ht="15" hidden="false" customHeight="true" outlineLevel="0" collapsed="false">
      <c r="A119" s="9" t="s">
        <v>455</v>
      </c>
      <c r="B119" s="9" t="s">
        <v>127</v>
      </c>
      <c r="C119" s="9" t="s">
        <v>128</v>
      </c>
      <c r="D119" s="9" t="s">
        <v>60</v>
      </c>
      <c r="E119" s="9" t="s">
        <v>240</v>
      </c>
      <c r="F119" s="9" t="s">
        <v>169</v>
      </c>
      <c r="G119" s="9" t="s">
        <v>170</v>
      </c>
      <c r="H119" s="9" t="s">
        <v>234</v>
      </c>
      <c r="I119" s="10" t="n">
        <v>45407</v>
      </c>
      <c r="J119" s="9" t="s">
        <v>135</v>
      </c>
      <c r="K119" s="9" t="s">
        <v>456</v>
      </c>
      <c r="L119" s="9" t="s">
        <v>217</v>
      </c>
      <c r="M119" s="10"/>
    </row>
    <row r="120" customFormat="false" ht="15" hidden="false" customHeight="true" outlineLevel="0" collapsed="false">
      <c r="A120" s="9" t="s">
        <v>457</v>
      </c>
      <c r="B120" s="9" t="s">
        <v>129</v>
      </c>
      <c r="C120" s="9" t="s">
        <v>130</v>
      </c>
      <c r="D120" s="9" t="s">
        <v>48</v>
      </c>
      <c r="E120" s="9" t="s">
        <v>240</v>
      </c>
      <c r="F120" s="9" t="s">
        <v>173</v>
      </c>
      <c r="G120" s="9" t="s">
        <v>174</v>
      </c>
      <c r="H120" s="9" t="s">
        <v>234</v>
      </c>
      <c r="I120" s="10" t="n">
        <v>44987</v>
      </c>
      <c r="J120" s="9" t="s">
        <v>69</v>
      </c>
      <c r="K120" s="9" t="s">
        <v>458</v>
      </c>
      <c r="L120" s="9" t="s">
        <v>217</v>
      </c>
      <c r="M120" s="10"/>
    </row>
    <row r="121" customFormat="false" ht="15" hidden="false" customHeight="true" outlineLevel="0" collapsed="false">
      <c r="A121" s="9" t="s">
        <v>459</v>
      </c>
      <c r="B121" s="9" t="s">
        <v>129</v>
      </c>
      <c r="C121" s="9" t="s">
        <v>130</v>
      </c>
      <c r="D121" s="9" t="s">
        <v>48</v>
      </c>
      <c r="E121" s="9" t="s">
        <v>219</v>
      </c>
      <c r="F121" s="9" t="s">
        <v>220</v>
      </c>
      <c r="G121" s="9" t="s">
        <v>221</v>
      </c>
      <c r="H121" s="9" t="s">
        <v>215</v>
      </c>
      <c r="I121" s="10" t="n">
        <v>45005</v>
      </c>
      <c r="J121" s="9" t="s">
        <v>45</v>
      </c>
      <c r="K121" s="9"/>
      <c r="L121" s="9" t="s">
        <v>217</v>
      </c>
      <c r="M121" s="10"/>
    </row>
    <row r="122" customFormat="false" ht="15" hidden="false" customHeight="true" outlineLevel="0" collapsed="false">
      <c r="A122" s="9" t="s">
        <v>460</v>
      </c>
      <c r="B122" s="9" t="s">
        <v>129</v>
      </c>
      <c r="C122" s="9" t="s">
        <v>130</v>
      </c>
      <c r="D122" s="9" t="s">
        <v>48</v>
      </c>
      <c r="E122" s="9" t="s">
        <v>212</v>
      </c>
      <c r="F122" s="9" t="s">
        <v>213</v>
      </c>
      <c r="G122" s="9" t="s">
        <v>214</v>
      </c>
      <c r="H122" s="9" t="s">
        <v>215</v>
      </c>
      <c r="I122" s="10" t="n">
        <v>44965</v>
      </c>
      <c r="J122" s="9"/>
      <c r="K122" s="9" t="s">
        <v>461</v>
      </c>
      <c r="L122" s="9" t="s">
        <v>230</v>
      </c>
      <c r="M122" s="10" t="n">
        <v>45973</v>
      </c>
    </row>
    <row r="123" customFormat="false" ht="15" hidden="false" customHeight="true" outlineLevel="0" collapsed="false">
      <c r="A123" s="9" t="s">
        <v>462</v>
      </c>
      <c r="B123" s="9" t="s">
        <v>129</v>
      </c>
      <c r="C123" s="9" t="s">
        <v>130</v>
      </c>
      <c r="D123" s="9" t="s">
        <v>48</v>
      </c>
      <c r="E123" s="9" t="s">
        <v>240</v>
      </c>
      <c r="F123" s="9" t="s">
        <v>167</v>
      </c>
      <c r="G123" s="9" t="s">
        <v>168</v>
      </c>
      <c r="H123" s="9" t="s">
        <v>234</v>
      </c>
      <c r="I123" s="10" t="n">
        <v>44941</v>
      </c>
      <c r="J123" s="9" t="s">
        <v>41</v>
      </c>
      <c r="K123" s="9" t="s">
        <v>463</v>
      </c>
      <c r="L123" s="9" t="s">
        <v>217</v>
      </c>
      <c r="M123" s="10"/>
    </row>
    <row r="124" customFormat="false" ht="15" hidden="false" customHeight="true" outlineLevel="0" collapsed="false">
      <c r="A124" s="9" t="s">
        <v>464</v>
      </c>
      <c r="B124" s="9" t="s">
        <v>131</v>
      </c>
      <c r="C124" s="9" t="s">
        <v>132</v>
      </c>
      <c r="D124" s="9" t="s">
        <v>65</v>
      </c>
      <c r="E124" s="9" t="s">
        <v>264</v>
      </c>
      <c r="F124" s="9" t="s">
        <v>189</v>
      </c>
      <c r="G124" s="9" t="s">
        <v>190</v>
      </c>
      <c r="H124" s="9" t="s">
        <v>234</v>
      </c>
      <c r="I124" s="10" t="n">
        <v>45597</v>
      </c>
      <c r="J124" s="9" t="s">
        <v>41</v>
      </c>
      <c r="K124" s="9" t="s">
        <v>465</v>
      </c>
      <c r="L124" s="9" t="s">
        <v>217</v>
      </c>
      <c r="M124" s="10"/>
    </row>
    <row r="125" customFormat="false" ht="15" hidden="false" customHeight="true" outlineLevel="0" collapsed="false">
      <c r="A125" s="9" t="s">
        <v>466</v>
      </c>
      <c r="B125" s="9" t="s">
        <v>131</v>
      </c>
      <c r="C125" s="9" t="s">
        <v>132</v>
      </c>
      <c r="D125" s="9" t="s">
        <v>65</v>
      </c>
      <c r="E125" s="9" t="s">
        <v>219</v>
      </c>
      <c r="F125" s="9" t="s">
        <v>220</v>
      </c>
      <c r="G125" s="9" t="s">
        <v>221</v>
      </c>
      <c r="H125" s="9" t="s">
        <v>215</v>
      </c>
      <c r="I125" s="10" t="n">
        <v>45213</v>
      </c>
      <c r="J125" s="9" t="s">
        <v>69</v>
      </c>
      <c r="K125" s="9" t="s">
        <v>467</v>
      </c>
      <c r="L125" s="9" t="s">
        <v>217</v>
      </c>
      <c r="M125" s="10"/>
    </row>
    <row r="126" customFormat="false" ht="15" hidden="false" customHeight="true" outlineLevel="0" collapsed="false">
      <c r="A126" s="9" t="s">
        <v>468</v>
      </c>
      <c r="B126" s="9" t="s">
        <v>131</v>
      </c>
      <c r="C126" s="9" t="s">
        <v>132</v>
      </c>
      <c r="D126" s="9" t="s">
        <v>65</v>
      </c>
      <c r="E126" s="9" t="s">
        <v>212</v>
      </c>
      <c r="F126" s="9" t="s">
        <v>213</v>
      </c>
      <c r="G126" s="9" t="s">
        <v>214</v>
      </c>
      <c r="H126" s="9" t="s">
        <v>215</v>
      </c>
      <c r="I126" s="10" t="n">
        <v>45168</v>
      </c>
      <c r="J126" s="9" t="s">
        <v>57</v>
      </c>
      <c r="K126" s="9" t="s">
        <v>469</v>
      </c>
      <c r="L126" s="9" t="s">
        <v>217</v>
      </c>
      <c r="M126" s="10"/>
    </row>
    <row r="127" customFormat="false" ht="15" hidden="false" customHeight="true" outlineLevel="0" collapsed="false">
      <c r="A127" s="9" t="s">
        <v>470</v>
      </c>
      <c r="B127" s="9" t="s">
        <v>133</v>
      </c>
      <c r="C127" s="9" t="s">
        <v>134</v>
      </c>
      <c r="D127" s="9" t="s">
        <v>44</v>
      </c>
      <c r="E127" s="9" t="s">
        <v>219</v>
      </c>
      <c r="F127" s="9" t="s">
        <v>185</v>
      </c>
      <c r="G127" s="9" t="s">
        <v>186</v>
      </c>
      <c r="H127" s="9" t="s">
        <v>226</v>
      </c>
      <c r="I127" s="10" t="n">
        <v>45858</v>
      </c>
      <c r="J127" s="9" t="s">
        <v>41</v>
      </c>
      <c r="K127" s="9" t="s">
        <v>471</v>
      </c>
      <c r="L127" s="9" t="s">
        <v>217</v>
      </c>
      <c r="M127" s="10"/>
    </row>
    <row r="128" customFormat="false" ht="15" hidden="false" customHeight="true" outlineLevel="0" collapsed="false">
      <c r="A128" s="9" t="s">
        <v>472</v>
      </c>
      <c r="B128" s="9" t="s">
        <v>133</v>
      </c>
      <c r="C128" s="9" t="s">
        <v>134</v>
      </c>
      <c r="D128" s="9" t="s">
        <v>44</v>
      </c>
      <c r="E128" s="9" t="s">
        <v>219</v>
      </c>
      <c r="F128" s="9" t="s">
        <v>183</v>
      </c>
      <c r="G128" s="9" t="s">
        <v>184</v>
      </c>
      <c r="H128" s="9" t="s">
        <v>234</v>
      </c>
      <c r="I128" s="10" t="n">
        <v>44970</v>
      </c>
      <c r="J128" s="9" t="s">
        <v>69</v>
      </c>
      <c r="K128" s="9" t="s">
        <v>473</v>
      </c>
      <c r="L128" s="9" t="s">
        <v>217</v>
      </c>
      <c r="M128" s="10"/>
    </row>
    <row r="129" customFormat="false" ht="15" hidden="false" customHeight="true" outlineLevel="0" collapsed="false">
      <c r="A129" s="9" t="s">
        <v>474</v>
      </c>
      <c r="B129" s="9" t="s">
        <v>133</v>
      </c>
      <c r="C129" s="9" t="s">
        <v>134</v>
      </c>
      <c r="D129" s="9" t="s">
        <v>44</v>
      </c>
      <c r="E129" s="9" t="s">
        <v>212</v>
      </c>
      <c r="F129" s="9" t="s">
        <v>213</v>
      </c>
      <c r="G129" s="9" t="s">
        <v>214</v>
      </c>
      <c r="H129" s="9" t="s">
        <v>215</v>
      </c>
      <c r="I129" s="10" t="n">
        <v>45347</v>
      </c>
      <c r="J129" s="9" t="s">
        <v>41</v>
      </c>
      <c r="K129" s="9" t="s">
        <v>475</v>
      </c>
      <c r="L129" s="9" t="s">
        <v>217</v>
      </c>
      <c r="M129" s="10"/>
    </row>
    <row r="130" customFormat="false" ht="15" hidden="false" customHeight="true" outlineLevel="0" collapsed="false">
      <c r="A130" s="9" t="s">
        <v>476</v>
      </c>
      <c r="B130" s="9" t="s">
        <v>133</v>
      </c>
      <c r="C130" s="9" t="s">
        <v>134</v>
      </c>
      <c r="D130" s="9" t="s">
        <v>44</v>
      </c>
      <c r="E130" s="9" t="s">
        <v>219</v>
      </c>
      <c r="F130" s="9" t="s">
        <v>220</v>
      </c>
      <c r="G130" s="9" t="s">
        <v>221</v>
      </c>
      <c r="H130" s="9" t="s">
        <v>215</v>
      </c>
      <c r="I130" s="10" t="n">
        <v>45404</v>
      </c>
      <c r="J130" s="9" t="s">
        <v>57</v>
      </c>
      <c r="K130" s="9" t="s">
        <v>477</v>
      </c>
      <c r="L130" s="9" t="s">
        <v>217</v>
      </c>
      <c r="M130" s="10"/>
    </row>
    <row r="131" customFormat="false" ht="15" hidden="false" customHeight="true" outlineLevel="0" collapsed="false">
      <c r="A131" s="9" t="s">
        <v>478</v>
      </c>
      <c r="B131" s="9" t="s">
        <v>133</v>
      </c>
      <c r="C131" s="9" t="s">
        <v>134</v>
      </c>
      <c r="D131" s="9" t="s">
        <v>44</v>
      </c>
      <c r="E131" s="9" t="s">
        <v>240</v>
      </c>
      <c r="F131" s="9" t="s">
        <v>167</v>
      </c>
      <c r="G131" s="9" t="s">
        <v>168</v>
      </c>
      <c r="H131" s="9" t="s">
        <v>234</v>
      </c>
      <c r="I131" s="10" t="n">
        <v>45494</v>
      </c>
      <c r="J131" s="9" t="s">
        <v>53</v>
      </c>
      <c r="K131" s="9" t="s">
        <v>479</v>
      </c>
      <c r="L131" s="9" t="s">
        <v>217</v>
      </c>
      <c r="M131" s="10"/>
    </row>
    <row r="132" customFormat="false" ht="15" hidden="false" customHeight="true" outlineLevel="0" collapsed="false">
      <c r="A132" s="9" t="s">
        <v>480</v>
      </c>
      <c r="B132" s="9" t="s">
        <v>133</v>
      </c>
      <c r="C132" s="9" t="s">
        <v>134</v>
      </c>
      <c r="D132" s="9" t="s">
        <v>44</v>
      </c>
      <c r="E132" s="9" t="s">
        <v>240</v>
      </c>
      <c r="F132" s="9" t="s">
        <v>169</v>
      </c>
      <c r="G132" s="9" t="s">
        <v>170</v>
      </c>
      <c r="H132" s="9" t="s">
        <v>234</v>
      </c>
      <c r="I132" s="10" t="n">
        <v>45152</v>
      </c>
      <c r="J132" s="9" t="s">
        <v>245</v>
      </c>
      <c r="K132" s="9" t="s">
        <v>481</v>
      </c>
      <c r="L132" s="9" t="s">
        <v>217</v>
      </c>
      <c r="M132" s="10"/>
    </row>
    <row r="133" customFormat="false" ht="15" hidden="false" customHeight="true" outlineLevel="0" collapsed="false">
      <c r="A133" s="9" t="s">
        <v>482</v>
      </c>
      <c r="B133" s="9" t="s">
        <v>136</v>
      </c>
      <c r="C133" s="9" t="s">
        <v>137</v>
      </c>
      <c r="D133" s="9" t="s">
        <v>48</v>
      </c>
      <c r="E133" s="9" t="s">
        <v>219</v>
      </c>
      <c r="F133" s="9" t="s">
        <v>220</v>
      </c>
      <c r="G133" s="9" t="s">
        <v>221</v>
      </c>
      <c r="H133" s="9" t="s">
        <v>215</v>
      </c>
      <c r="I133" s="10" t="n">
        <v>45588</v>
      </c>
      <c r="J133" s="9"/>
      <c r="K133" s="9" t="s">
        <v>483</v>
      </c>
      <c r="L133" s="9" t="s">
        <v>230</v>
      </c>
      <c r="M133" s="10" t="n">
        <v>45964</v>
      </c>
    </row>
    <row r="134" customFormat="false" ht="15" hidden="false" customHeight="true" outlineLevel="0" collapsed="false">
      <c r="A134" s="9" t="s">
        <v>484</v>
      </c>
      <c r="B134" s="9" t="s">
        <v>136</v>
      </c>
      <c r="C134" s="9" t="s">
        <v>137</v>
      </c>
      <c r="D134" s="9" t="s">
        <v>48</v>
      </c>
      <c r="E134" s="9" t="s">
        <v>240</v>
      </c>
      <c r="F134" s="9" t="s">
        <v>167</v>
      </c>
      <c r="G134" s="9" t="s">
        <v>168</v>
      </c>
      <c r="H134" s="9" t="s">
        <v>234</v>
      </c>
      <c r="I134" s="10" t="n">
        <v>45984</v>
      </c>
      <c r="J134" s="9" t="s">
        <v>62</v>
      </c>
      <c r="K134" s="9" t="s">
        <v>485</v>
      </c>
      <c r="L134" s="9" t="s">
        <v>217</v>
      </c>
      <c r="M134" s="10"/>
    </row>
    <row r="135" customFormat="false" ht="15" hidden="false" customHeight="true" outlineLevel="0" collapsed="false">
      <c r="A135" s="9" t="s">
        <v>486</v>
      </c>
      <c r="B135" s="9" t="s">
        <v>136</v>
      </c>
      <c r="C135" s="9" t="s">
        <v>137</v>
      </c>
      <c r="D135" s="9" t="s">
        <v>48</v>
      </c>
      <c r="E135" s="9" t="s">
        <v>240</v>
      </c>
      <c r="F135" s="9" t="s">
        <v>169</v>
      </c>
      <c r="G135" s="9" t="s">
        <v>170</v>
      </c>
      <c r="H135" s="9" t="s">
        <v>234</v>
      </c>
      <c r="I135" s="10" t="n">
        <v>46088</v>
      </c>
      <c r="J135" s="9" t="s">
        <v>69</v>
      </c>
      <c r="K135" s="9" t="s">
        <v>487</v>
      </c>
      <c r="L135" s="9" t="s">
        <v>230</v>
      </c>
      <c r="M135" s="10" t="n">
        <v>45962</v>
      </c>
    </row>
    <row r="136" customFormat="false" ht="15" hidden="false" customHeight="true" outlineLevel="0" collapsed="false">
      <c r="A136" s="9" t="s">
        <v>488</v>
      </c>
      <c r="B136" s="9" t="s">
        <v>138</v>
      </c>
      <c r="C136" s="9" t="s">
        <v>139</v>
      </c>
      <c r="D136" s="9" t="s">
        <v>48</v>
      </c>
      <c r="E136" s="9" t="s">
        <v>240</v>
      </c>
      <c r="F136" s="9" t="s">
        <v>173</v>
      </c>
      <c r="G136" s="9" t="s">
        <v>174</v>
      </c>
      <c r="H136" s="9" t="s">
        <v>234</v>
      </c>
      <c r="I136" s="10" t="n">
        <v>44982</v>
      </c>
      <c r="J136" s="9"/>
      <c r="K136" s="9" t="s">
        <v>489</v>
      </c>
      <c r="L136" s="9" t="s">
        <v>217</v>
      </c>
      <c r="M136" s="10"/>
    </row>
    <row r="137" customFormat="false" ht="15" hidden="false" customHeight="true" outlineLevel="0" collapsed="false">
      <c r="A137" s="9" t="s">
        <v>490</v>
      </c>
      <c r="B137" s="9" t="s">
        <v>138</v>
      </c>
      <c r="C137" s="9" t="s">
        <v>139</v>
      </c>
      <c r="D137" s="9" t="s">
        <v>48</v>
      </c>
      <c r="E137" s="9" t="s">
        <v>212</v>
      </c>
      <c r="F137" s="9" t="s">
        <v>213</v>
      </c>
      <c r="G137" s="9" t="s">
        <v>214</v>
      </c>
      <c r="H137" s="9" t="s">
        <v>215</v>
      </c>
      <c r="I137" s="10" t="n">
        <v>44960</v>
      </c>
      <c r="J137" s="9" t="s">
        <v>53</v>
      </c>
      <c r="K137" s="9" t="s">
        <v>491</v>
      </c>
      <c r="L137" s="9" t="s">
        <v>217</v>
      </c>
      <c r="M137" s="10"/>
    </row>
    <row r="138" customFormat="false" ht="15" hidden="false" customHeight="true" outlineLevel="0" collapsed="false">
      <c r="A138" s="9" t="s">
        <v>492</v>
      </c>
      <c r="B138" s="9" t="s">
        <v>140</v>
      </c>
      <c r="C138" s="9" t="s">
        <v>141</v>
      </c>
      <c r="D138" s="9" t="s">
        <v>48</v>
      </c>
      <c r="E138" s="9" t="s">
        <v>219</v>
      </c>
      <c r="F138" s="9" t="s">
        <v>220</v>
      </c>
      <c r="G138" s="9" t="s">
        <v>221</v>
      </c>
      <c r="H138" s="9" t="s">
        <v>215</v>
      </c>
      <c r="I138" s="10" t="n">
        <v>46081</v>
      </c>
      <c r="J138" s="9" t="s">
        <v>41</v>
      </c>
      <c r="K138" s="9" t="s">
        <v>493</v>
      </c>
      <c r="L138" s="9" t="s">
        <v>230</v>
      </c>
      <c r="M138" s="10" t="n">
        <v>46182</v>
      </c>
    </row>
    <row r="139" customFormat="false" ht="15" hidden="false" customHeight="true" outlineLevel="0" collapsed="false">
      <c r="A139" s="9" t="s">
        <v>494</v>
      </c>
      <c r="B139" s="9" t="s">
        <v>140</v>
      </c>
      <c r="C139" s="9" t="s">
        <v>141</v>
      </c>
      <c r="D139" s="9" t="s">
        <v>48</v>
      </c>
      <c r="E139" s="9" t="s">
        <v>212</v>
      </c>
      <c r="F139" s="9" t="s">
        <v>213</v>
      </c>
      <c r="G139" s="9" t="s">
        <v>214</v>
      </c>
      <c r="H139" s="9" t="s">
        <v>215</v>
      </c>
      <c r="I139" s="10" t="n">
        <v>45861</v>
      </c>
      <c r="J139" s="9" t="s">
        <v>84</v>
      </c>
      <c r="K139" s="9" t="s">
        <v>495</v>
      </c>
      <c r="L139" s="9" t="s">
        <v>230</v>
      </c>
      <c r="M139" s="10" t="n">
        <v>46181</v>
      </c>
    </row>
    <row r="140" customFormat="false" ht="15" hidden="false" customHeight="true" outlineLevel="0" collapsed="false">
      <c r="A140" s="9" t="s">
        <v>496</v>
      </c>
      <c r="B140" s="9" t="s">
        <v>140</v>
      </c>
      <c r="C140" s="9" t="s">
        <v>141</v>
      </c>
      <c r="D140" s="9" t="s">
        <v>48</v>
      </c>
      <c r="E140" s="9" t="s">
        <v>240</v>
      </c>
      <c r="F140" s="9" t="s">
        <v>173</v>
      </c>
      <c r="G140" s="9" t="s">
        <v>174</v>
      </c>
      <c r="H140" s="9" t="s">
        <v>234</v>
      </c>
      <c r="I140" s="10" t="n">
        <v>46049</v>
      </c>
      <c r="J140" s="9" t="s">
        <v>84</v>
      </c>
      <c r="K140" s="9" t="s">
        <v>497</v>
      </c>
      <c r="L140" s="9" t="s">
        <v>217</v>
      </c>
      <c r="M140" s="10"/>
    </row>
    <row r="141" customFormat="false" ht="15" hidden="false" customHeight="true" outlineLevel="0" collapsed="false">
      <c r="A141" s="9" t="s">
        <v>498</v>
      </c>
      <c r="B141" s="9" t="s">
        <v>140</v>
      </c>
      <c r="C141" s="9" t="s">
        <v>141</v>
      </c>
      <c r="D141" s="9" t="s">
        <v>48</v>
      </c>
      <c r="E141" s="9" t="s">
        <v>240</v>
      </c>
      <c r="F141" s="9" t="s">
        <v>167</v>
      </c>
      <c r="G141" s="9" t="s">
        <v>168</v>
      </c>
      <c r="H141" s="9" t="s">
        <v>234</v>
      </c>
      <c r="I141" s="10" t="n">
        <v>45902</v>
      </c>
      <c r="J141" s="9" t="s">
        <v>57</v>
      </c>
      <c r="K141" s="9" t="s">
        <v>499</v>
      </c>
      <c r="L141" s="9" t="s">
        <v>230</v>
      </c>
      <c r="M141" s="10" t="n">
        <v>46179</v>
      </c>
    </row>
    <row r="142" customFormat="false" ht="15" hidden="false" customHeight="true" outlineLevel="0" collapsed="false">
      <c r="A142" s="9" t="s">
        <v>500</v>
      </c>
      <c r="B142" s="9" t="s">
        <v>142</v>
      </c>
      <c r="C142" s="9" t="s">
        <v>143</v>
      </c>
      <c r="D142" s="9" t="s">
        <v>60</v>
      </c>
      <c r="E142" s="9" t="s">
        <v>240</v>
      </c>
      <c r="F142" s="9" t="s">
        <v>167</v>
      </c>
      <c r="G142" s="9" t="s">
        <v>168</v>
      </c>
      <c r="H142" s="9" t="s">
        <v>234</v>
      </c>
      <c r="I142" s="10" t="n">
        <v>45308</v>
      </c>
      <c r="J142" s="9" t="s">
        <v>53</v>
      </c>
      <c r="K142" s="9"/>
      <c r="L142" s="9" t="s">
        <v>217</v>
      </c>
      <c r="M142" s="10"/>
    </row>
    <row r="143" customFormat="false" ht="15" hidden="false" customHeight="true" outlineLevel="0" collapsed="false">
      <c r="A143" s="9" t="s">
        <v>501</v>
      </c>
      <c r="B143" s="9" t="s">
        <v>142</v>
      </c>
      <c r="C143" s="9" t="s">
        <v>143</v>
      </c>
      <c r="D143" s="9" t="s">
        <v>60</v>
      </c>
      <c r="E143" s="9" t="s">
        <v>240</v>
      </c>
      <c r="F143" s="9" t="s">
        <v>173</v>
      </c>
      <c r="G143" s="9" t="s">
        <v>174</v>
      </c>
      <c r="H143" s="9" t="s">
        <v>234</v>
      </c>
      <c r="I143" s="10" t="n">
        <v>45613</v>
      </c>
      <c r="J143" s="9" t="s">
        <v>41</v>
      </c>
      <c r="K143" s="9" t="s">
        <v>502</v>
      </c>
      <c r="L143" s="9" t="s">
        <v>217</v>
      </c>
      <c r="M143" s="10"/>
    </row>
    <row r="144" customFormat="false" ht="15" hidden="false" customHeight="true" outlineLevel="0" collapsed="false">
      <c r="A144" s="9" t="s">
        <v>503</v>
      </c>
      <c r="B144" s="9" t="s">
        <v>142</v>
      </c>
      <c r="C144" s="9" t="s">
        <v>143</v>
      </c>
      <c r="D144" s="9" t="s">
        <v>60</v>
      </c>
      <c r="E144" s="9" t="s">
        <v>269</v>
      </c>
      <c r="F144" s="9" t="s">
        <v>195</v>
      </c>
      <c r="G144" s="9" t="s">
        <v>196</v>
      </c>
      <c r="H144" s="9" t="s">
        <v>234</v>
      </c>
      <c r="I144" s="10" t="n">
        <v>45695</v>
      </c>
      <c r="J144" s="9" t="s">
        <v>84</v>
      </c>
      <c r="K144" s="9" t="s">
        <v>504</v>
      </c>
      <c r="L144" s="9" t="s">
        <v>217</v>
      </c>
      <c r="M144" s="10"/>
    </row>
    <row r="145" customFormat="false" ht="15" hidden="false" customHeight="true" outlineLevel="0" collapsed="false">
      <c r="A145" s="9" t="s">
        <v>505</v>
      </c>
      <c r="B145" s="9" t="s">
        <v>142</v>
      </c>
      <c r="C145" s="9" t="s">
        <v>143</v>
      </c>
      <c r="D145" s="9" t="s">
        <v>60</v>
      </c>
      <c r="E145" s="9" t="s">
        <v>269</v>
      </c>
      <c r="F145" s="9" t="s">
        <v>197</v>
      </c>
      <c r="G145" s="9" t="s">
        <v>198</v>
      </c>
      <c r="H145" s="9" t="s">
        <v>226</v>
      </c>
      <c r="I145" s="10" t="n">
        <v>45287</v>
      </c>
      <c r="J145" s="9" t="s">
        <v>41</v>
      </c>
      <c r="K145" s="9" t="s">
        <v>506</v>
      </c>
      <c r="L145" s="9" t="s">
        <v>217</v>
      </c>
      <c r="M145" s="10"/>
    </row>
    <row r="146" customFormat="false" ht="15" hidden="false" customHeight="true" outlineLevel="0" collapsed="false">
      <c r="A146" s="9" t="s">
        <v>507</v>
      </c>
      <c r="B146" s="9" t="s">
        <v>144</v>
      </c>
      <c r="C146" s="9" t="s">
        <v>145</v>
      </c>
      <c r="D146" s="9" t="s">
        <v>81</v>
      </c>
      <c r="E146" s="9" t="s">
        <v>240</v>
      </c>
      <c r="F146" s="9" t="s">
        <v>179</v>
      </c>
      <c r="G146" s="9" t="s">
        <v>180</v>
      </c>
      <c r="H146" s="9" t="s">
        <v>226</v>
      </c>
      <c r="I146" s="10" t="n">
        <v>45115</v>
      </c>
      <c r="J146" s="9" t="s">
        <v>41</v>
      </c>
      <c r="K146" s="9" t="s">
        <v>508</v>
      </c>
      <c r="L146" s="9" t="s">
        <v>217</v>
      </c>
      <c r="M146" s="10"/>
    </row>
    <row r="147" customFormat="false" ht="15" hidden="false" customHeight="true" outlineLevel="0" collapsed="false">
      <c r="A147" s="9" t="s">
        <v>509</v>
      </c>
      <c r="B147" s="9" t="s">
        <v>144</v>
      </c>
      <c r="C147" s="9" t="s">
        <v>145</v>
      </c>
      <c r="D147" s="9" t="s">
        <v>81</v>
      </c>
      <c r="E147" s="9" t="s">
        <v>240</v>
      </c>
      <c r="F147" s="9" t="s">
        <v>167</v>
      </c>
      <c r="G147" s="9" t="s">
        <v>168</v>
      </c>
      <c r="H147" s="9" t="s">
        <v>234</v>
      </c>
      <c r="I147" s="10" t="n">
        <v>45214</v>
      </c>
      <c r="J147" s="9" t="s">
        <v>62</v>
      </c>
      <c r="K147" s="9" t="s">
        <v>510</v>
      </c>
      <c r="L147" s="9" t="s">
        <v>217</v>
      </c>
      <c r="M147" s="10"/>
    </row>
    <row r="148" customFormat="false" ht="15" hidden="false" customHeight="true" outlineLevel="0" collapsed="false">
      <c r="A148" s="9" t="s">
        <v>511</v>
      </c>
      <c r="B148" s="9" t="s">
        <v>144</v>
      </c>
      <c r="C148" s="9" t="s">
        <v>145</v>
      </c>
      <c r="D148" s="9" t="s">
        <v>81</v>
      </c>
      <c r="E148" s="9" t="s">
        <v>219</v>
      </c>
      <c r="F148" s="9" t="s">
        <v>220</v>
      </c>
      <c r="G148" s="9" t="s">
        <v>221</v>
      </c>
      <c r="H148" s="9" t="s">
        <v>215</v>
      </c>
      <c r="I148" s="10" t="n">
        <v>45238</v>
      </c>
      <c r="J148" s="9"/>
      <c r="K148" s="9" t="s">
        <v>512</v>
      </c>
      <c r="L148" s="9" t="s">
        <v>217</v>
      </c>
      <c r="M148" s="10"/>
    </row>
    <row r="149" customFormat="false" ht="15" hidden="false" customHeight="true" outlineLevel="0" collapsed="false">
      <c r="A149" s="9" t="s">
        <v>513</v>
      </c>
      <c r="B149" s="9" t="s">
        <v>146</v>
      </c>
      <c r="C149" s="9" t="s">
        <v>147</v>
      </c>
      <c r="D149" s="9" t="s">
        <v>39</v>
      </c>
      <c r="E149" s="9" t="s">
        <v>219</v>
      </c>
      <c r="F149" s="9" t="s">
        <v>220</v>
      </c>
      <c r="G149" s="9" t="s">
        <v>221</v>
      </c>
      <c r="H149" s="9" t="s">
        <v>215</v>
      </c>
      <c r="I149" s="10" t="n">
        <v>45506</v>
      </c>
      <c r="J149" s="9" t="s">
        <v>245</v>
      </c>
      <c r="K149" s="9"/>
      <c r="L149" s="9" t="s">
        <v>217</v>
      </c>
      <c r="M149" s="10"/>
    </row>
    <row r="150" customFormat="false" ht="15" hidden="false" customHeight="true" outlineLevel="0" collapsed="false">
      <c r="A150" s="9" t="s">
        <v>514</v>
      </c>
      <c r="B150" s="9" t="s">
        <v>146</v>
      </c>
      <c r="C150" s="9" t="s">
        <v>147</v>
      </c>
      <c r="D150" s="9" t="s">
        <v>39</v>
      </c>
      <c r="E150" s="9" t="s">
        <v>212</v>
      </c>
      <c r="F150" s="9" t="s">
        <v>224</v>
      </c>
      <c r="G150" s="9" t="s">
        <v>225</v>
      </c>
      <c r="H150" s="9" t="s">
        <v>226</v>
      </c>
      <c r="I150" s="10" t="n">
        <v>45020</v>
      </c>
      <c r="J150" s="9" t="s">
        <v>50</v>
      </c>
      <c r="K150" s="9" t="s">
        <v>515</v>
      </c>
      <c r="L150" s="9" t="s">
        <v>217</v>
      </c>
      <c r="M150" s="10"/>
    </row>
    <row r="151" customFormat="false" ht="15" hidden="false" customHeight="true" outlineLevel="0" collapsed="false">
      <c r="A151" s="9" t="s">
        <v>516</v>
      </c>
      <c r="B151" s="9" t="s">
        <v>146</v>
      </c>
      <c r="C151" s="9" t="s">
        <v>147</v>
      </c>
      <c r="D151" s="9" t="s">
        <v>39</v>
      </c>
      <c r="E151" s="9" t="s">
        <v>212</v>
      </c>
      <c r="F151" s="9" t="s">
        <v>213</v>
      </c>
      <c r="G151" s="9" t="s">
        <v>214</v>
      </c>
      <c r="H151" s="9" t="s">
        <v>215</v>
      </c>
      <c r="I151" s="10" t="n">
        <v>45088</v>
      </c>
      <c r="J151" s="9" t="s">
        <v>57</v>
      </c>
      <c r="K151" s="9" t="s">
        <v>517</v>
      </c>
      <c r="L151" s="9" t="s">
        <v>217</v>
      </c>
      <c r="M151" s="10"/>
    </row>
    <row r="152" customFormat="false" ht="15" hidden="false" customHeight="true" outlineLevel="0" collapsed="false">
      <c r="A152" s="9" t="s">
        <v>518</v>
      </c>
      <c r="B152" s="9" t="s">
        <v>148</v>
      </c>
      <c r="C152" s="9" t="s">
        <v>149</v>
      </c>
      <c r="D152" s="9" t="s">
        <v>97</v>
      </c>
      <c r="E152" s="9" t="s">
        <v>219</v>
      </c>
      <c r="F152" s="9" t="s">
        <v>183</v>
      </c>
      <c r="G152" s="9" t="s">
        <v>184</v>
      </c>
      <c r="H152" s="9" t="s">
        <v>234</v>
      </c>
      <c r="I152" s="10" t="n">
        <v>45028</v>
      </c>
      <c r="J152" s="9" t="s">
        <v>245</v>
      </c>
      <c r="K152" s="9" t="s">
        <v>519</v>
      </c>
      <c r="L152" s="9" t="s">
        <v>217</v>
      </c>
      <c r="M152" s="10"/>
    </row>
    <row r="153" customFormat="false" ht="15" hidden="false" customHeight="true" outlineLevel="0" collapsed="false">
      <c r="A153" s="9" t="s">
        <v>520</v>
      </c>
      <c r="B153" s="9" t="s">
        <v>148</v>
      </c>
      <c r="C153" s="9" t="s">
        <v>149</v>
      </c>
      <c r="D153" s="9" t="s">
        <v>97</v>
      </c>
      <c r="E153" s="9" t="s">
        <v>219</v>
      </c>
      <c r="F153" s="9" t="s">
        <v>220</v>
      </c>
      <c r="G153" s="9" t="s">
        <v>221</v>
      </c>
      <c r="H153" s="9" t="s">
        <v>215</v>
      </c>
      <c r="I153" s="10" t="n">
        <v>45921</v>
      </c>
      <c r="J153" s="9" t="s">
        <v>62</v>
      </c>
      <c r="K153" s="9" t="s">
        <v>521</v>
      </c>
      <c r="L153" s="9" t="s">
        <v>217</v>
      </c>
      <c r="M153" s="10"/>
    </row>
    <row r="154" customFormat="false" ht="15" hidden="false" customHeight="true" outlineLevel="0" collapsed="false">
      <c r="A154" s="9" t="s">
        <v>522</v>
      </c>
      <c r="B154" s="9" t="s">
        <v>148</v>
      </c>
      <c r="C154" s="9" t="s">
        <v>149</v>
      </c>
      <c r="D154" s="9" t="s">
        <v>97</v>
      </c>
      <c r="E154" s="9" t="s">
        <v>219</v>
      </c>
      <c r="F154" s="9" t="s">
        <v>185</v>
      </c>
      <c r="G154" s="9" t="s">
        <v>186</v>
      </c>
      <c r="H154" s="9" t="s">
        <v>226</v>
      </c>
      <c r="I154" s="10" t="n">
        <v>45976</v>
      </c>
      <c r="J154" s="9" t="s">
        <v>41</v>
      </c>
      <c r="K154" s="9" t="s">
        <v>523</v>
      </c>
      <c r="L154" s="9" t="s">
        <v>217</v>
      </c>
      <c r="M154" s="10"/>
    </row>
    <row r="155" customFormat="false" ht="15" hidden="false" customHeight="true" outlineLevel="0" collapsed="false">
      <c r="A155" s="9" t="s">
        <v>524</v>
      </c>
      <c r="B155" s="9" t="s">
        <v>148</v>
      </c>
      <c r="C155" s="9" t="s">
        <v>149</v>
      </c>
      <c r="D155" s="9" t="s">
        <v>97</v>
      </c>
      <c r="E155" s="9" t="s">
        <v>212</v>
      </c>
      <c r="F155" s="9" t="s">
        <v>213</v>
      </c>
      <c r="G155" s="9" t="s">
        <v>214</v>
      </c>
      <c r="H155" s="9" t="s">
        <v>215</v>
      </c>
      <c r="I155" s="10" t="n">
        <v>46141</v>
      </c>
      <c r="J155" s="9" t="s">
        <v>135</v>
      </c>
      <c r="K155" s="9" t="s">
        <v>525</v>
      </c>
      <c r="L155" s="9" t="s">
        <v>230</v>
      </c>
      <c r="M155" s="10" t="n">
        <v>46242</v>
      </c>
    </row>
    <row r="156" customFormat="false" ht="15" hidden="false" customHeight="true" outlineLevel="0" collapsed="false">
      <c r="A156" s="9" t="s">
        <v>526</v>
      </c>
      <c r="B156" s="9" t="s">
        <v>150</v>
      </c>
      <c r="C156" s="9" t="s">
        <v>151</v>
      </c>
      <c r="D156" s="9" t="s">
        <v>60</v>
      </c>
      <c r="E156" s="9" t="s">
        <v>240</v>
      </c>
      <c r="F156" s="9" t="s">
        <v>167</v>
      </c>
      <c r="G156" s="9" t="s">
        <v>168</v>
      </c>
      <c r="H156" s="9" t="s">
        <v>234</v>
      </c>
      <c r="I156" s="10" t="n">
        <v>44997</v>
      </c>
      <c r="J156" s="9" t="s">
        <v>104</v>
      </c>
      <c r="K156" s="9" t="s">
        <v>527</v>
      </c>
      <c r="L156" s="9" t="s">
        <v>230</v>
      </c>
      <c r="M156" s="10" t="n">
        <v>45878</v>
      </c>
    </row>
    <row r="157" customFormat="false" ht="15" hidden="false" customHeight="true" outlineLevel="0" collapsed="false">
      <c r="A157" s="9" t="s">
        <v>528</v>
      </c>
      <c r="B157" s="9" t="s">
        <v>150</v>
      </c>
      <c r="C157" s="9" t="s">
        <v>151</v>
      </c>
      <c r="D157" s="9" t="s">
        <v>60</v>
      </c>
      <c r="E157" s="9" t="s">
        <v>240</v>
      </c>
      <c r="F157" s="9" t="s">
        <v>169</v>
      </c>
      <c r="G157" s="9" t="s">
        <v>170</v>
      </c>
      <c r="H157" s="9" t="s">
        <v>234</v>
      </c>
      <c r="I157" s="10" t="n">
        <v>45016</v>
      </c>
      <c r="J157" s="9" t="s">
        <v>53</v>
      </c>
      <c r="K157" s="9" t="s">
        <v>529</v>
      </c>
      <c r="L157" s="9" t="s">
        <v>217</v>
      </c>
      <c r="M157" s="10"/>
    </row>
    <row r="158" customFormat="false" ht="15" hidden="false" customHeight="true" outlineLevel="0" collapsed="false">
      <c r="A158" s="9" t="s">
        <v>530</v>
      </c>
      <c r="B158" s="9" t="s">
        <v>150</v>
      </c>
      <c r="C158" s="9" t="s">
        <v>151</v>
      </c>
      <c r="D158" s="9" t="s">
        <v>60</v>
      </c>
      <c r="E158" s="9" t="s">
        <v>240</v>
      </c>
      <c r="F158" s="9" t="s">
        <v>173</v>
      </c>
      <c r="G158" s="9" t="s">
        <v>174</v>
      </c>
      <c r="H158" s="9" t="s">
        <v>234</v>
      </c>
      <c r="I158" s="10" t="n">
        <v>45213</v>
      </c>
      <c r="J158" s="9" t="s">
        <v>245</v>
      </c>
      <c r="K158" s="9"/>
      <c r="L158" s="9" t="s">
        <v>230</v>
      </c>
      <c r="M158" s="10" t="n">
        <v>45251</v>
      </c>
    </row>
    <row r="159" customFormat="false" ht="15" hidden="false" customHeight="true" outlineLevel="0" collapsed="false">
      <c r="A159" s="9" t="s">
        <v>531</v>
      </c>
      <c r="B159" s="9" t="s">
        <v>150</v>
      </c>
      <c r="C159" s="9" t="s">
        <v>151</v>
      </c>
      <c r="D159" s="9" t="s">
        <v>60</v>
      </c>
      <c r="E159" s="9" t="s">
        <v>212</v>
      </c>
      <c r="F159" s="9" t="s">
        <v>213</v>
      </c>
      <c r="G159" s="9" t="s">
        <v>214</v>
      </c>
      <c r="H159" s="9" t="s">
        <v>215</v>
      </c>
      <c r="I159" s="10" t="n">
        <v>45162</v>
      </c>
      <c r="J159" s="9" t="s">
        <v>41</v>
      </c>
      <c r="K159" s="9" t="s">
        <v>532</v>
      </c>
      <c r="L159" s="9" t="s">
        <v>217</v>
      </c>
      <c r="M159" s="10"/>
    </row>
    <row r="160" customFormat="false" ht="15" hidden="false" customHeight="true" outlineLevel="0" collapsed="false">
      <c r="A160" s="9" t="s">
        <v>533</v>
      </c>
      <c r="B160" s="9" t="s">
        <v>152</v>
      </c>
      <c r="C160" s="9" t="s">
        <v>153</v>
      </c>
      <c r="D160" s="9" t="s">
        <v>68</v>
      </c>
      <c r="E160" s="9" t="s">
        <v>219</v>
      </c>
      <c r="F160" s="9" t="s">
        <v>220</v>
      </c>
      <c r="G160" s="9" t="s">
        <v>221</v>
      </c>
      <c r="H160" s="9" t="s">
        <v>215</v>
      </c>
      <c r="I160" s="10" t="n">
        <v>45014</v>
      </c>
      <c r="J160" s="9" t="s">
        <v>62</v>
      </c>
      <c r="K160" s="9" t="s">
        <v>534</v>
      </c>
      <c r="L160" s="9" t="s">
        <v>217</v>
      </c>
      <c r="M160" s="10"/>
    </row>
    <row r="161" customFormat="false" ht="15" hidden="false" customHeight="true" outlineLevel="0" collapsed="false">
      <c r="A161" s="9" t="s">
        <v>535</v>
      </c>
      <c r="B161" s="9" t="s">
        <v>152</v>
      </c>
      <c r="C161" s="9" t="s">
        <v>153</v>
      </c>
      <c r="D161" s="9" t="s">
        <v>68</v>
      </c>
      <c r="E161" s="9" t="s">
        <v>269</v>
      </c>
      <c r="F161" s="9" t="s">
        <v>197</v>
      </c>
      <c r="G161" s="9" t="s">
        <v>198</v>
      </c>
      <c r="H161" s="9" t="s">
        <v>226</v>
      </c>
      <c r="I161" s="10" t="n">
        <v>44972</v>
      </c>
      <c r="J161" s="9" t="s">
        <v>84</v>
      </c>
      <c r="K161" s="9" t="s">
        <v>536</v>
      </c>
      <c r="L161" s="9" t="s">
        <v>217</v>
      </c>
      <c r="M161" s="10"/>
    </row>
    <row r="162" customFormat="false" ht="15" hidden="false" customHeight="true" outlineLevel="0" collapsed="false">
      <c r="A162" s="9" t="s">
        <v>537</v>
      </c>
      <c r="B162" s="9" t="s">
        <v>152</v>
      </c>
      <c r="C162" s="9" t="s">
        <v>153</v>
      </c>
      <c r="D162" s="9" t="s">
        <v>68</v>
      </c>
      <c r="E162" s="9" t="s">
        <v>212</v>
      </c>
      <c r="F162" s="9" t="s">
        <v>213</v>
      </c>
      <c r="G162" s="9" t="s">
        <v>214</v>
      </c>
      <c r="H162" s="9" t="s">
        <v>215</v>
      </c>
      <c r="I162" s="10" t="n">
        <v>45195</v>
      </c>
      <c r="J162" s="9" t="s">
        <v>41</v>
      </c>
      <c r="K162" s="9" t="s">
        <v>538</v>
      </c>
      <c r="L162" s="9" t="s">
        <v>217</v>
      </c>
      <c r="M162" s="10"/>
    </row>
    <row r="163" customFormat="false" ht="15" hidden="false" customHeight="true" outlineLevel="0" collapsed="false">
      <c r="A163" s="9" t="s">
        <v>539</v>
      </c>
      <c r="B163" s="9" t="s">
        <v>152</v>
      </c>
      <c r="C163" s="9" t="s">
        <v>153</v>
      </c>
      <c r="D163" s="9" t="s">
        <v>68</v>
      </c>
      <c r="E163" s="9" t="s">
        <v>269</v>
      </c>
      <c r="F163" s="9" t="s">
        <v>195</v>
      </c>
      <c r="G163" s="9" t="s">
        <v>196</v>
      </c>
      <c r="H163" s="9" t="s">
        <v>234</v>
      </c>
      <c r="I163" s="10" t="n">
        <v>45040</v>
      </c>
      <c r="J163" s="9" t="s">
        <v>57</v>
      </c>
      <c r="K163" s="9"/>
      <c r="L163" s="9" t="s">
        <v>217</v>
      </c>
      <c r="M163" s="10"/>
    </row>
    <row r="164" customFormat="false" ht="15" hidden="false" customHeight="true" outlineLevel="0" collapsed="false">
      <c r="A164" s="9" t="s">
        <v>540</v>
      </c>
      <c r="B164" s="9" t="s">
        <v>152</v>
      </c>
      <c r="C164" s="9" t="s">
        <v>153</v>
      </c>
      <c r="D164" s="9" t="s">
        <v>68</v>
      </c>
      <c r="E164" s="9" t="s">
        <v>240</v>
      </c>
      <c r="F164" s="9" t="s">
        <v>177</v>
      </c>
      <c r="G164" s="9" t="s">
        <v>178</v>
      </c>
      <c r="H164" s="9" t="s">
        <v>234</v>
      </c>
      <c r="I164" s="10" t="n">
        <v>45026</v>
      </c>
      <c r="J164" s="9" t="s">
        <v>57</v>
      </c>
      <c r="K164" s="9" t="s">
        <v>541</v>
      </c>
      <c r="L164" s="9" t="s">
        <v>217</v>
      </c>
      <c r="M164" s="10"/>
    </row>
    <row r="165" customFormat="false" ht="15" hidden="false" customHeight="true" outlineLevel="0" collapsed="false">
      <c r="A165" s="9" t="s">
        <v>542</v>
      </c>
      <c r="B165" s="9" t="s">
        <v>152</v>
      </c>
      <c r="C165" s="9" t="s">
        <v>153</v>
      </c>
      <c r="D165" s="9" t="s">
        <v>68</v>
      </c>
      <c r="E165" s="9" t="s">
        <v>240</v>
      </c>
      <c r="F165" s="9" t="s">
        <v>179</v>
      </c>
      <c r="G165" s="9" t="s">
        <v>180</v>
      </c>
      <c r="H165" s="9" t="s">
        <v>226</v>
      </c>
      <c r="I165" s="10" t="n">
        <v>45002</v>
      </c>
      <c r="J165" s="9" t="s">
        <v>45</v>
      </c>
      <c r="K165" s="9" t="s">
        <v>543</v>
      </c>
      <c r="L165" s="9" t="s">
        <v>217</v>
      </c>
      <c r="M165" s="10"/>
    </row>
    <row r="166" customFormat="false" ht="15" hidden="false" customHeight="true" outlineLevel="0" collapsed="false">
      <c r="A166" s="9" t="s">
        <v>544</v>
      </c>
      <c r="B166" s="9" t="s">
        <v>154</v>
      </c>
      <c r="C166" s="9" t="s">
        <v>155</v>
      </c>
      <c r="D166" s="9" t="s">
        <v>48</v>
      </c>
      <c r="E166" s="9" t="s">
        <v>212</v>
      </c>
      <c r="F166" s="9" t="s">
        <v>213</v>
      </c>
      <c r="G166" s="9" t="s">
        <v>214</v>
      </c>
      <c r="H166" s="9" t="s">
        <v>215</v>
      </c>
      <c r="I166" s="10" t="n">
        <v>45938</v>
      </c>
      <c r="J166" s="9" t="s">
        <v>135</v>
      </c>
      <c r="K166" s="9" t="s">
        <v>545</v>
      </c>
      <c r="L166" s="9" t="s">
        <v>217</v>
      </c>
      <c r="M166" s="10"/>
    </row>
    <row r="167" customFormat="false" ht="15" hidden="false" customHeight="true" outlineLevel="0" collapsed="false">
      <c r="A167" s="9" t="s">
        <v>546</v>
      </c>
      <c r="B167" s="9" t="s">
        <v>154</v>
      </c>
      <c r="C167" s="9" t="s">
        <v>155</v>
      </c>
      <c r="D167" s="9" t="s">
        <v>48</v>
      </c>
      <c r="E167" s="9" t="s">
        <v>219</v>
      </c>
      <c r="F167" s="9" t="s">
        <v>220</v>
      </c>
      <c r="G167" s="9" t="s">
        <v>221</v>
      </c>
      <c r="H167" s="9" t="s">
        <v>215</v>
      </c>
      <c r="I167" s="10" t="n">
        <v>46083</v>
      </c>
      <c r="J167" s="9" t="s">
        <v>245</v>
      </c>
      <c r="K167" s="9" t="s">
        <v>547</v>
      </c>
      <c r="L167" s="9" t="s">
        <v>217</v>
      </c>
      <c r="M167" s="10"/>
    </row>
    <row r="168" customFormat="false" ht="15" hidden="false" customHeight="true" outlineLevel="0" collapsed="false">
      <c r="A168" s="9" t="s">
        <v>548</v>
      </c>
      <c r="B168" s="9" t="s">
        <v>154</v>
      </c>
      <c r="C168" s="9" t="s">
        <v>155</v>
      </c>
      <c r="D168" s="9" t="s">
        <v>48</v>
      </c>
      <c r="E168" s="9" t="s">
        <v>240</v>
      </c>
      <c r="F168" s="9" t="s">
        <v>167</v>
      </c>
      <c r="G168" s="9" t="s">
        <v>168</v>
      </c>
      <c r="H168" s="9" t="s">
        <v>234</v>
      </c>
      <c r="I168" s="10" t="n">
        <v>45574</v>
      </c>
      <c r="J168" s="9"/>
      <c r="K168" s="9" t="s">
        <v>549</v>
      </c>
      <c r="L168" s="9" t="s">
        <v>217</v>
      </c>
      <c r="M168" s="10"/>
    </row>
    <row r="169" customFormat="false" ht="15" hidden="false" customHeight="true" outlineLevel="0" collapsed="false">
      <c r="A169" s="9" t="s">
        <v>550</v>
      </c>
      <c r="B169" s="9" t="s">
        <v>154</v>
      </c>
      <c r="C169" s="9" t="s">
        <v>155</v>
      </c>
      <c r="D169" s="9" t="s">
        <v>48</v>
      </c>
      <c r="E169" s="9" t="s">
        <v>240</v>
      </c>
      <c r="F169" s="9" t="s">
        <v>173</v>
      </c>
      <c r="G169" s="9" t="s">
        <v>174</v>
      </c>
      <c r="H169" s="9" t="s">
        <v>234</v>
      </c>
      <c r="I169" s="10" t="n">
        <v>45489</v>
      </c>
      <c r="J169" s="9" t="s">
        <v>62</v>
      </c>
      <c r="K169" s="9" t="s">
        <v>551</v>
      </c>
      <c r="L169" s="9" t="s">
        <v>217</v>
      </c>
      <c r="M169" s="10"/>
    </row>
    <row r="170" customFormat="false" ht="15" hidden="false" customHeight="true" outlineLevel="0" collapsed="false">
      <c r="A170" s="9" t="s">
        <v>552</v>
      </c>
      <c r="B170" s="9" t="s">
        <v>156</v>
      </c>
      <c r="C170" s="9" t="s">
        <v>157</v>
      </c>
      <c r="D170" s="9" t="s">
        <v>60</v>
      </c>
      <c r="E170" s="9" t="s">
        <v>240</v>
      </c>
      <c r="F170" s="9" t="s">
        <v>173</v>
      </c>
      <c r="G170" s="9" t="s">
        <v>174</v>
      </c>
      <c r="H170" s="9" t="s">
        <v>234</v>
      </c>
      <c r="I170" s="10" t="n">
        <v>45220</v>
      </c>
      <c r="J170" s="9" t="s">
        <v>41</v>
      </c>
      <c r="K170" s="9" t="s">
        <v>553</v>
      </c>
      <c r="L170" s="9" t="s">
        <v>217</v>
      </c>
      <c r="M170" s="10"/>
    </row>
    <row r="171" customFormat="false" ht="15" hidden="false" customHeight="true" outlineLevel="0" collapsed="false">
      <c r="A171" s="9" t="s">
        <v>554</v>
      </c>
      <c r="B171" s="9" t="s">
        <v>156</v>
      </c>
      <c r="C171" s="9" t="s">
        <v>157</v>
      </c>
      <c r="D171" s="9" t="s">
        <v>60</v>
      </c>
      <c r="E171" s="9" t="s">
        <v>240</v>
      </c>
      <c r="F171" s="9" t="s">
        <v>167</v>
      </c>
      <c r="G171" s="9" t="s">
        <v>168</v>
      </c>
      <c r="H171" s="9" t="s">
        <v>234</v>
      </c>
      <c r="I171" s="10" t="n">
        <v>45446</v>
      </c>
      <c r="J171" s="9" t="s">
        <v>84</v>
      </c>
      <c r="K171" s="9" t="s">
        <v>555</v>
      </c>
      <c r="L171" s="9" t="s">
        <v>217</v>
      </c>
      <c r="M171" s="10"/>
    </row>
    <row r="172" customFormat="false" ht="15" hidden="false" customHeight="true" outlineLevel="0" collapsed="false">
      <c r="A172" s="9" t="s">
        <v>556</v>
      </c>
      <c r="B172" s="9" t="s">
        <v>156</v>
      </c>
      <c r="C172" s="9" t="s">
        <v>157</v>
      </c>
      <c r="D172" s="9" t="s">
        <v>60</v>
      </c>
      <c r="E172" s="9" t="s">
        <v>240</v>
      </c>
      <c r="F172" s="9" t="s">
        <v>169</v>
      </c>
      <c r="G172" s="9" t="s">
        <v>170</v>
      </c>
      <c r="H172" s="9" t="s">
        <v>234</v>
      </c>
      <c r="I172" s="10" t="n">
        <v>44969</v>
      </c>
      <c r="J172" s="9" t="s">
        <v>135</v>
      </c>
      <c r="K172" s="9" t="s">
        <v>557</v>
      </c>
      <c r="L172" s="9" t="s">
        <v>217</v>
      </c>
      <c r="M172" s="10"/>
    </row>
    <row r="173" customFormat="false" ht="15" hidden="false" customHeight="true" outlineLevel="0" collapsed="false">
      <c r="A173" s="9" t="s">
        <v>558</v>
      </c>
      <c r="B173" s="9" t="s">
        <v>158</v>
      </c>
      <c r="C173" s="9" t="s">
        <v>159</v>
      </c>
      <c r="D173" s="9" t="s">
        <v>39</v>
      </c>
      <c r="E173" s="9" t="s">
        <v>212</v>
      </c>
      <c r="F173" s="9" t="s">
        <v>213</v>
      </c>
      <c r="G173" s="9" t="s">
        <v>214</v>
      </c>
      <c r="H173" s="9" t="s">
        <v>215</v>
      </c>
      <c r="I173" s="10" t="n">
        <v>45630</v>
      </c>
      <c r="J173" s="9" t="s">
        <v>41</v>
      </c>
      <c r="K173" s="9" t="s">
        <v>559</v>
      </c>
      <c r="L173" s="9" t="s">
        <v>230</v>
      </c>
      <c r="M173" s="10" t="n">
        <v>46078</v>
      </c>
    </row>
    <row r="174" customFormat="false" ht="15" hidden="false" customHeight="true" outlineLevel="0" collapsed="false">
      <c r="A174" s="9" t="s">
        <v>560</v>
      </c>
      <c r="B174" s="9" t="s">
        <v>158</v>
      </c>
      <c r="C174" s="9" t="s">
        <v>159</v>
      </c>
      <c r="D174" s="9" t="s">
        <v>39</v>
      </c>
      <c r="E174" s="9" t="s">
        <v>212</v>
      </c>
      <c r="F174" s="9" t="s">
        <v>224</v>
      </c>
      <c r="G174" s="9" t="s">
        <v>225</v>
      </c>
      <c r="H174" s="9" t="s">
        <v>226</v>
      </c>
      <c r="I174" s="10" t="n">
        <v>45826</v>
      </c>
      <c r="J174" s="9" t="s">
        <v>50</v>
      </c>
      <c r="K174" s="9" t="s">
        <v>561</v>
      </c>
      <c r="L174" s="9" t="s">
        <v>217</v>
      </c>
      <c r="M174" s="10"/>
    </row>
    <row r="175" customFormat="false" ht="15" hidden="false" customHeight="true" outlineLevel="0" collapsed="false">
      <c r="A175" s="9" t="s">
        <v>562</v>
      </c>
      <c r="B175" s="9" t="s">
        <v>158</v>
      </c>
      <c r="C175" s="9" t="s">
        <v>159</v>
      </c>
      <c r="D175" s="9" t="s">
        <v>39</v>
      </c>
      <c r="E175" s="9" t="s">
        <v>219</v>
      </c>
      <c r="F175" s="9" t="s">
        <v>220</v>
      </c>
      <c r="G175" s="9" t="s">
        <v>221</v>
      </c>
      <c r="H175" s="9" t="s">
        <v>215</v>
      </c>
      <c r="I175" s="10" t="n">
        <v>45506</v>
      </c>
      <c r="J175" s="9" t="s">
        <v>84</v>
      </c>
      <c r="K175" s="9" t="s">
        <v>563</v>
      </c>
      <c r="L175" s="9" t="s">
        <v>217</v>
      </c>
      <c r="M175"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false"/>
  </sheetPr>
  <dimension ref="A1:M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18"/>
    <col collapsed="false" customWidth="true" hidden="false" outlineLevel="0" max="4" min="4" style="1" width="10"/>
    <col collapsed="false" customWidth="true" hidden="false" outlineLevel="0" max="5" min="5" style="1" width="8"/>
    <col collapsed="false" customWidth="true" hidden="false" outlineLevel="0" max="6" min="6" style="1" width="26"/>
    <col collapsed="false" customWidth="true" hidden="false" outlineLevel="0" max="7" min="7" style="1" width="10"/>
    <col collapsed="false" customWidth="true" hidden="false" outlineLevel="0" max="8" min="8" style="1" width="14"/>
    <col collapsed="false" customWidth="true" hidden="false" outlineLevel="0" max="9" min="9" style="1" width="12"/>
    <col collapsed="false" customWidth="true" hidden="false" outlineLevel="0" max="10" min="10" style="1" width="10"/>
    <col collapsed="false" customWidth="true" hidden="false" outlineLevel="0" max="11" min="11" style="1" width="14"/>
    <col collapsed="false" customWidth="true" hidden="false" outlineLevel="0" max="12" min="12" style="1" width="24"/>
    <col collapsed="false" customWidth="true" hidden="false" outlineLevel="0" max="13" min="13" style="1" width="22"/>
  </cols>
  <sheetData>
    <row r="1" customFormat="false" ht="23.25" hidden="false" customHeight="true" outlineLevel="0" collapsed="false">
      <c r="A1" s="8" t="s">
        <v>564</v>
      </c>
      <c r="B1" s="8" t="s">
        <v>29</v>
      </c>
      <c r="C1" s="8" t="s">
        <v>201</v>
      </c>
      <c r="D1" s="8" t="s">
        <v>202</v>
      </c>
      <c r="E1" s="8" t="s">
        <v>203</v>
      </c>
      <c r="F1" s="8" t="s">
        <v>204</v>
      </c>
      <c r="G1" s="8" t="s">
        <v>205</v>
      </c>
      <c r="H1" s="8" t="s">
        <v>565</v>
      </c>
      <c r="I1" s="8" t="s">
        <v>566</v>
      </c>
      <c r="J1" s="8" t="s">
        <v>567</v>
      </c>
      <c r="K1" s="8" t="s">
        <v>568</v>
      </c>
      <c r="L1" s="8" t="s">
        <v>569</v>
      </c>
      <c r="M1" s="8" t="s">
        <v>570</v>
      </c>
    </row>
    <row r="2" customFormat="false" ht="15" hidden="false" customHeight="true" outlineLevel="0" collapsed="false">
      <c r="A2" s="9" t="s">
        <v>571</v>
      </c>
      <c r="B2" s="9" t="s">
        <v>37</v>
      </c>
      <c r="C2" s="9" t="s">
        <v>38</v>
      </c>
      <c r="D2" s="9" t="s">
        <v>212</v>
      </c>
      <c r="E2" s="9" t="s">
        <v>213</v>
      </c>
      <c r="F2" s="9" t="s">
        <v>214</v>
      </c>
      <c r="G2" s="9" t="s">
        <v>215</v>
      </c>
      <c r="H2" s="9" t="n">
        <v>365</v>
      </c>
      <c r="I2" s="10" t="n">
        <v>46260</v>
      </c>
      <c r="J2" s="9" t="s">
        <v>41</v>
      </c>
      <c r="K2" s="10" t="n">
        <v>46243</v>
      </c>
      <c r="L2" s="9" t="s">
        <v>572</v>
      </c>
      <c r="M2" s="9" t="str">
        <f aca="true">IF(ISBLANK(K2),IF(TODAY()&gt;I2,"OVERDUE - NOT COMPLETED","PENDING - NOT YET DUE"),IF(K2&gt;I2,"COMPLETED LATE","COMPLETED ON TIME"))</f>
        <v>COMPLETED ON TIME</v>
      </c>
    </row>
    <row r="3" customFormat="false" ht="15" hidden="false" customHeight="true" outlineLevel="0" collapsed="false">
      <c r="A3" s="9" t="s">
        <v>573</v>
      </c>
      <c r="B3" s="9" t="s">
        <v>37</v>
      </c>
      <c r="C3" s="9" t="s">
        <v>38</v>
      </c>
      <c r="D3" s="9" t="s">
        <v>219</v>
      </c>
      <c r="E3" s="9" t="s">
        <v>220</v>
      </c>
      <c r="F3" s="9" t="s">
        <v>221</v>
      </c>
      <c r="G3" s="9" t="s">
        <v>215</v>
      </c>
      <c r="H3" s="9" t="n">
        <v>365</v>
      </c>
      <c r="I3" s="10" t="n">
        <v>46071</v>
      </c>
      <c r="J3" s="9" t="s">
        <v>57</v>
      </c>
      <c r="K3" s="10"/>
      <c r="L3" s="9"/>
      <c r="M3" s="9" t="str">
        <f aca="true">IF(ISBLANK(K3),IF(TODAY()&gt;I3,"OVERDUE - NOT COMPLETED","PENDING - NOT YET DUE"),IF(K3&gt;I3,"COMPLETED LATE","COMPLETED ON TIME"))</f>
        <v>OVERDUE - NOT COMPLETED</v>
      </c>
    </row>
    <row r="4" customFormat="false" ht="15" hidden="false" customHeight="true" outlineLevel="0" collapsed="false">
      <c r="A4" s="9" t="s">
        <v>574</v>
      </c>
      <c r="B4" s="9" t="s">
        <v>37</v>
      </c>
      <c r="C4" s="9" t="s">
        <v>38</v>
      </c>
      <c r="D4" s="9" t="s">
        <v>212</v>
      </c>
      <c r="E4" s="9" t="s">
        <v>224</v>
      </c>
      <c r="F4" s="9" t="s">
        <v>225</v>
      </c>
      <c r="G4" s="9" t="s">
        <v>226</v>
      </c>
      <c r="H4" s="9" t="n">
        <v>90</v>
      </c>
      <c r="I4" s="10" t="n">
        <v>46272</v>
      </c>
      <c r="J4" s="9" t="s">
        <v>84</v>
      </c>
      <c r="K4" s="10"/>
      <c r="L4" s="9"/>
      <c r="M4" s="9" t="str">
        <f aca="true">IF(ISBLANK(K4),IF(TODAY()&gt;I4,"OVERDUE - NOT COMPLETED","PENDING - NOT YET DUE"),IF(K4&gt;I4,"COMPLETED LATE","COMPLETED ON TIME"))</f>
        <v>OVERDUE - NOT COMPLETED</v>
      </c>
    </row>
    <row r="5" customFormat="false" ht="15" hidden="false" customHeight="true" outlineLevel="0" collapsed="false">
      <c r="A5" s="9" t="s">
        <v>575</v>
      </c>
      <c r="B5" s="9" t="s">
        <v>42</v>
      </c>
      <c r="C5" s="9" t="s">
        <v>43</v>
      </c>
      <c r="D5" s="9" t="s">
        <v>219</v>
      </c>
      <c r="E5" s="9" t="s">
        <v>185</v>
      </c>
      <c r="F5" s="9" t="s">
        <v>186</v>
      </c>
      <c r="G5" s="9" t="s">
        <v>226</v>
      </c>
      <c r="H5" s="9" t="n">
        <v>90</v>
      </c>
      <c r="I5" s="10" t="n">
        <v>46272</v>
      </c>
      <c r="J5" s="9" t="s">
        <v>50</v>
      </c>
      <c r="K5" s="10" t="n">
        <v>46262</v>
      </c>
      <c r="L5" s="9" t="s">
        <v>572</v>
      </c>
      <c r="M5" s="9" t="str">
        <f aca="true">IF(ISBLANK(K5),IF(TODAY()&gt;I5,"OVERDUE - NOT COMPLETED","PENDING - NOT YET DUE"),IF(K5&gt;I5,"COMPLETED LATE","COMPLETED ON TIME"))</f>
        <v>COMPLETED ON TIME</v>
      </c>
    </row>
    <row r="6" customFormat="false" ht="15" hidden="false" customHeight="true" outlineLevel="0" collapsed="false">
      <c r="A6" s="9" t="s">
        <v>576</v>
      </c>
      <c r="B6" s="9" t="s">
        <v>42</v>
      </c>
      <c r="C6" s="9" t="s">
        <v>43</v>
      </c>
      <c r="D6" s="9" t="s">
        <v>219</v>
      </c>
      <c r="E6" s="9" t="s">
        <v>220</v>
      </c>
      <c r="F6" s="9" t="s">
        <v>221</v>
      </c>
      <c r="G6" s="9" t="s">
        <v>215</v>
      </c>
      <c r="H6" s="9" t="n">
        <v>365</v>
      </c>
      <c r="I6" s="10" t="n">
        <v>46457</v>
      </c>
      <c r="J6" s="9" t="s">
        <v>41</v>
      </c>
      <c r="K6" s="10" t="n">
        <v>46444</v>
      </c>
      <c r="L6" s="9" t="s">
        <v>577</v>
      </c>
      <c r="M6" s="9" t="str">
        <f aca="true">IF(ISBLANK(K6),IF(TODAY()&gt;I6,"OVERDUE - NOT COMPLETED","PENDING - NOT YET DUE"),IF(K6&gt;I6,"COMPLETED LATE","COMPLETED ON TIME"))</f>
        <v>COMPLETED ON TIME</v>
      </c>
    </row>
    <row r="7" customFormat="false" ht="15" hidden="false" customHeight="true" outlineLevel="0" collapsed="false">
      <c r="A7" s="9" t="s">
        <v>578</v>
      </c>
      <c r="B7" s="9" t="s">
        <v>46</v>
      </c>
      <c r="C7" s="9" t="s">
        <v>47</v>
      </c>
      <c r="D7" s="9" t="s">
        <v>212</v>
      </c>
      <c r="E7" s="9" t="s">
        <v>213</v>
      </c>
      <c r="F7" s="9" t="s">
        <v>214</v>
      </c>
      <c r="G7" s="9" t="s">
        <v>215</v>
      </c>
      <c r="H7" s="9" t="n">
        <v>365</v>
      </c>
      <c r="I7" s="10" t="n">
        <v>46234</v>
      </c>
      <c r="J7" s="9" t="s">
        <v>53</v>
      </c>
      <c r="K7" s="10" t="n">
        <v>46224</v>
      </c>
      <c r="L7" s="9" t="s">
        <v>572</v>
      </c>
      <c r="M7" s="9" t="str">
        <f aca="true">IF(ISBLANK(K7),IF(TODAY()&gt;I7,"OVERDUE - NOT COMPLETED","PENDING - NOT YET DUE"),IF(K7&gt;I7,"COMPLETED LATE","COMPLETED ON TIME"))</f>
        <v>COMPLETED ON TIME</v>
      </c>
    </row>
    <row r="8" customFormat="false" ht="15" hidden="false" customHeight="true" outlineLevel="0" collapsed="false">
      <c r="A8" s="9" t="s">
        <v>579</v>
      </c>
      <c r="B8" s="9" t="s">
        <v>46</v>
      </c>
      <c r="C8" s="9" t="s">
        <v>47</v>
      </c>
      <c r="D8" s="9" t="s">
        <v>240</v>
      </c>
      <c r="E8" s="9" t="s">
        <v>173</v>
      </c>
      <c r="F8" s="9" t="s">
        <v>174</v>
      </c>
      <c r="G8" s="9" t="s">
        <v>234</v>
      </c>
      <c r="H8" s="9" t="n">
        <v>365</v>
      </c>
      <c r="I8" s="10" t="n">
        <v>46076</v>
      </c>
      <c r="J8" s="9" t="s">
        <v>41</v>
      </c>
      <c r="K8" s="10" t="n">
        <v>46083</v>
      </c>
      <c r="L8" s="9" t="s">
        <v>577</v>
      </c>
      <c r="M8" s="9" t="str">
        <f aca="true">IF(ISBLANK(K8),IF(TODAY()&gt;I8,"OVERDUE - NOT COMPLETED","PENDING - NOT YET DUE"),IF(K8&gt;I8,"COMPLETED LATE","COMPLETED ON TIME"))</f>
        <v>COMPLETED LATE</v>
      </c>
    </row>
    <row r="9" customFormat="false" ht="15" hidden="false" customHeight="true" outlineLevel="0" collapsed="false">
      <c r="A9" s="9" t="s">
        <v>580</v>
      </c>
      <c r="B9" s="9" t="s">
        <v>46</v>
      </c>
      <c r="C9" s="9" t="s">
        <v>47</v>
      </c>
      <c r="D9" s="9" t="s">
        <v>240</v>
      </c>
      <c r="E9" s="9" t="s">
        <v>167</v>
      </c>
      <c r="F9" s="9" t="s">
        <v>168</v>
      </c>
      <c r="G9" s="9" t="s">
        <v>234</v>
      </c>
      <c r="H9" s="9" t="n">
        <v>365</v>
      </c>
      <c r="I9" s="10" t="n">
        <v>45956</v>
      </c>
      <c r="J9" s="9" t="s">
        <v>57</v>
      </c>
      <c r="K9" s="10" t="n">
        <v>45937</v>
      </c>
      <c r="L9" s="9" t="s">
        <v>572</v>
      </c>
      <c r="M9" s="9" t="str">
        <f aca="true">IF(ISBLANK(K9),IF(TODAY()&gt;I9,"OVERDUE - NOT COMPLETED","PENDING - NOT YET DUE"),IF(K9&gt;I9,"COMPLETED LATE","COMPLETED ON TIME"))</f>
        <v>COMPLETED ON TIME</v>
      </c>
    </row>
    <row r="10" customFormat="false" ht="15" hidden="false" customHeight="true" outlineLevel="0" collapsed="false">
      <c r="A10" s="9" t="s">
        <v>581</v>
      </c>
      <c r="B10" s="9" t="s">
        <v>51</v>
      </c>
      <c r="C10" s="9" t="s">
        <v>52</v>
      </c>
      <c r="D10" s="9" t="s">
        <v>219</v>
      </c>
      <c r="E10" s="9" t="s">
        <v>220</v>
      </c>
      <c r="F10" s="9" t="s">
        <v>221</v>
      </c>
      <c r="G10" s="9" t="s">
        <v>215</v>
      </c>
      <c r="H10" s="9" t="n">
        <v>365</v>
      </c>
      <c r="I10" s="10" t="n">
        <v>46084</v>
      </c>
      <c r="J10" s="9" t="s">
        <v>53</v>
      </c>
      <c r="K10" s="10" t="n">
        <v>46065</v>
      </c>
      <c r="L10" s="9" t="s">
        <v>572</v>
      </c>
      <c r="M10" s="9" t="str">
        <f aca="true">IF(ISBLANK(K10),IF(TODAY()&gt;I10,"OVERDUE - NOT COMPLETED","PENDING - NOT YET DUE"),IF(K10&gt;I10,"COMPLETED LATE","COMPLETED ON TIME"))</f>
        <v>COMPLETED ON TIME</v>
      </c>
    </row>
    <row r="11" customFormat="false" ht="15" hidden="false" customHeight="true" outlineLevel="0" collapsed="false">
      <c r="A11" s="9" t="s">
        <v>582</v>
      </c>
      <c r="B11" s="9" t="s">
        <v>51</v>
      </c>
      <c r="C11" s="9" t="s">
        <v>52</v>
      </c>
      <c r="D11" s="9" t="s">
        <v>212</v>
      </c>
      <c r="E11" s="9" t="s">
        <v>213</v>
      </c>
      <c r="F11" s="9" t="s">
        <v>214</v>
      </c>
      <c r="G11" s="9" t="s">
        <v>215</v>
      </c>
      <c r="H11" s="9" t="n">
        <v>365</v>
      </c>
      <c r="I11" s="10" t="n">
        <v>46338</v>
      </c>
      <c r="J11" s="9" t="s">
        <v>57</v>
      </c>
      <c r="K11" s="10" t="n">
        <v>46331</v>
      </c>
      <c r="L11" s="9" t="s">
        <v>572</v>
      </c>
      <c r="M11" s="9" t="str">
        <f aca="true">IF(ISBLANK(K11),IF(TODAY()&gt;I11,"OVERDUE - NOT COMPLETED","PENDING - NOT YET DUE"),IF(K11&gt;I11,"COMPLETED LATE","COMPLETED ON TIME"))</f>
        <v>COMPLETED ON TIME</v>
      </c>
    </row>
    <row r="12" customFormat="false" ht="15" hidden="false" customHeight="true" outlineLevel="0" collapsed="false">
      <c r="A12" s="9" t="s">
        <v>583</v>
      </c>
      <c r="B12" s="9" t="s">
        <v>54</v>
      </c>
      <c r="C12" s="9" t="s">
        <v>55</v>
      </c>
      <c r="D12" s="9" t="s">
        <v>212</v>
      </c>
      <c r="E12" s="9" t="s">
        <v>224</v>
      </c>
      <c r="F12" s="9" t="s">
        <v>225</v>
      </c>
      <c r="G12" s="9" t="s">
        <v>226</v>
      </c>
      <c r="H12" s="9" t="n">
        <v>90</v>
      </c>
      <c r="I12" s="10" t="n">
        <v>46252</v>
      </c>
      <c r="J12" s="9" t="s">
        <v>50</v>
      </c>
      <c r="K12" s="10" t="n">
        <v>46283</v>
      </c>
      <c r="L12" s="9" t="s">
        <v>572</v>
      </c>
      <c r="M12" s="9" t="str">
        <f aca="true">IF(ISBLANK(K12),IF(TODAY()&gt;I12,"OVERDUE - NOT COMPLETED","PENDING - NOT YET DUE"),IF(K12&gt;I12,"COMPLETED LATE","COMPLETED ON TIME"))</f>
        <v>COMPLETED LATE</v>
      </c>
    </row>
    <row r="13" customFormat="false" ht="15" hidden="false" customHeight="true" outlineLevel="0" collapsed="false">
      <c r="A13" s="9" t="s">
        <v>584</v>
      </c>
      <c r="B13" s="9" t="s">
        <v>54</v>
      </c>
      <c r="C13" s="9" t="s">
        <v>55</v>
      </c>
      <c r="D13" s="9" t="s">
        <v>219</v>
      </c>
      <c r="E13" s="9" t="s">
        <v>220</v>
      </c>
      <c r="F13" s="9" t="s">
        <v>221</v>
      </c>
      <c r="G13" s="9" t="s">
        <v>215</v>
      </c>
      <c r="H13" s="9" t="n">
        <v>365</v>
      </c>
      <c r="I13" s="10" t="n">
        <v>46369</v>
      </c>
      <c r="J13" s="9" t="s">
        <v>135</v>
      </c>
      <c r="K13" s="10" t="n">
        <v>46357</v>
      </c>
      <c r="L13" s="9" t="s">
        <v>577</v>
      </c>
      <c r="M13" s="9" t="str">
        <f aca="true">IF(ISBLANK(K13),IF(TODAY()&gt;I13,"OVERDUE - NOT COMPLETED","PENDING - NOT YET DUE"),IF(K13&gt;I13,"COMPLETED LATE","COMPLETED ON TIME"))</f>
        <v>COMPLETED ON TIME</v>
      </c>
    </row>
    <row r="14" customFormat="false" ht="15" hidden="false" customHeight="true" outlineLevel="0" collapsed="false">
      <c r="A14" s="9" t="s">
        <v>585</v>
      </c>
      <c r="B14" s="9" t="s">
        <v>54</v>
      </c>
      <c r="C14" s="9" t="s">
        <v>55</v>
      </c>
      <c r="D14" s="9" t="s">
        <v>212</v>
      </c>
      <c r="E14" s="9" t="s">
        <v>213</v>
      </c>
      <c r="F14" s="9" t="s">
        <v>214</v>
      </c>
      <c r="G14" s="9" t="s">
        <v>215</v>
      </c>
      <c r="H14" s="9" t="n">
        <v>365</v>
      </c>
      <c r="I14" s="10" t="n">
        <v>46122</v>
      </c>
      <c r="J14" s="9" t="s">
        <v>62</v>
      </c>
      <c r="K14" s="10"/>
      <c r="L14" s="9"/>
      <c r="M14" s="9" t="str">
        <f aca="true">IF(ISBLANK(K14),IF(TODAY()&gt;I14,"OVERDUE - NOT COMPLETED","PENDING - NOT YET DUE"),IF(K14&gt;I14,"COMPLETED LATE","COMPLETED ON TIME"))</f>
        <v>OVERDUE - NOT COMPLETED</v>
      </c>
    </row>
    <row r="15" customFormat="false" ht="15" hidden="false" customHeight="true" outlineLevel="0" collapsed="false">
      <c r="A15" s="9" t="s">
        <v>586</v>
      </c>
      <c r="B15" s="9" t="s">
        <v>58</v>
      </c>
      <c r="C15" s="9" t="s">
        <v>59</v>
      </c>
      <c r="D15" s="9" t="s">
        <v>240</v>
      </c>
      <c r="E15" s="9" t="s">
        <v>173</v>
      </c>
      <c r="F15" s="9" t="s">
        <v>174</v>
      </c>
      <c r="G15" s="9" t="s">
        <v>234</v>
      </c>
      <c r="H15" s="9" t="n">
        <v>365</v>
      </c>
      <c r="I15" s="10" t="n">
        <v>46410</v>
      </c>
      <c r="J15" s="9" t="s">
        <v>57</v>
      </c>
      <c r="K15" s="10" t="n">
        <v>46407</v>
      </c>
      <c r="L15" s="9" t="s">
        <v>577</v>
      </c>
      <c r="M15" s="9" t="str">
        <f aca="true">IF(ISBLANK(K15),IF(TODAY()&gt;I15,"OVERDUE - NOT COMPLETED","PENDING - NOT YET DUE"),IF(K15&gt;I15,"COMPLETED LATE","COMPLETED ON TIME"))</f>
        <v>COMPLETED ON TIME</v>
      </c>
    </row>
    <row r="16" customFormat="false" ht="15" hidden="false" customHeight="true" outlineLevel="0" collapsed="false">
      <c r="A16" s="9" t="s">
        <v>587</v>
      </c>
      <c r="B16" s="9" t="s">
        <v>58</v>
      </c>
      <c r="C16" s="9" t="s">
        <v>59</v>
      </c>
      <c r="D16" s="9" t="s">
        <v>212</v>
      </c>
      <c r="E16" s="9" t="s">
        <v>213</v>
      </c>
      <c r="F16" s="9" t="s">
        <v>214</v>
      </c>
      <c r="G16" s="9" t="s">
        <v>215</v>
      </c>
      <c r="H16" s="9" t="n">
        <v>365</v>
      </c>
      <c r="I16" s="10" t="n">
        <v>46197</v>
      </c>
      <c r="J16" s="9" t="s">
        <v>135</v>
      </c>
      <c r="K16" s="10" t="n">
        <v>46193</v>
      </c>
      <c r="L16" s="9" t="s">
        <v>572</v>
      </c>
      <c r="M16" s="9" t="str">
        <f aca="true">IF(ISBLANK(K16),IF(TODAY()&gt;I16,"OVERDUE - NOT COMPLETED","PENDING - NOT YET DUE"),IF(K16&gt;I16,"COMPLETED LATE","COMPLETED ON TIME"))</f>
        <v>COMPLETED ON TIME</v>
      </c>
    </row>
    <row r="17" customFormat="false" ht="15" hidden="false" customHeight="true" outlineLevel="0" collapsed="false">
      <c r="A17" s="9" t="s">
        <v>588</v>
      </c>
      <c r="B17" s="9" t="s">
        <v>63</v>
      </c>
      <c r="C17" s="9" t="s">
        <v>64</v>
      </c>
      <c r="D17" s="9" t="s">
        <v>212</v>
      </c>
      <c r="E17" s="9" t="s">
        <v>213</v>
      </c>
      <c r="F17" s="9" t="s">
        <v>214</v>
      </c>
      <c r="G17" s="9" t="s">
        <v>215</v>
      </c>
      <c r="H17" s="9" t="n">
        <v>365</v>
      </c>
      <c r="I17" s="10" t="n">
        <v>46379</v>
      </c>
      <c r="J17" s="9" t="s">
        <v>57</v>
      </c>
      <c r="K17" s="10" t="n">
        <v>46366</v>
      </c>
      <c r="L17" s="9" t="s">
        <v>572</v>
      </c>
      <c r="M17" s="9" t="str">
        <f aca="true">IF(ISBLANK(K17),IF(TODAY()&gt;I17,"OVERDUE - NOT COMPLETED","PENDING - NOT YET DUE"),IF(K17&gt;I17,"COMPLETED LATE","COMPLETED ON TIME"))</f>
        <v>COMPLETED ON TIME</v>
      </c>
    </row>
    <row r="18" customFormat="false" ht="15" hidden="false" customHeight="true" outlineLevel="0" collapsed="false">
      <c r="A18" s="9" t="s">
        <v>589</v>
      </c>
      <c r="B18" s="9" t="s">
        <v>66</v>
      </c>
      <c r="C18" s="9" t="s">
        <v>67</v>
      </c>
      <c r="D18" s="9" t="s">
        <v>269</v>
      </c>
      <c r="E18" s="9" t="s">
        <v>197</v>
      </c>
      <c r="F18" s="9" t="s">
        <v>198</v>
      </c>
      <c r="G18" s="9" t="s">
        <v>226</v>
      </c>
      <c r="H18" s="9" t="n">
        <v>90</v>
      </c>
      <c r="I18" s="10" t="n">
        <v>46253</v>
      </c>
      <c r="J18" s="9" t="s">
        <v>84</v>
      </c>
      <c r="K18" s="10" t="n">
        <v>46242</v>
      </c>
      <c r="L18" s="9" t="s">
        <v>572</v>
      </c>
      <c r="M18" s="9" t="str">
        <f aca="true">IF(ISBLANK(K18),IF(TODAY()&gt;I18,"OVERDUE - NOT COMPLETED","PENDING - NOT YET DUE"),IF(K18&gt;I18,"COMPLETED LATE","COMPLETED ON TIME"))</f>
        <v>COMPLETED ON TIME</v>
      </c>
    </row>
    <row r="19" customFormat="false" ht="15" hidden="false" customHeight="true" outlineLevel="0" collapsed="false">
      <c r="A19" s="9" t="s">
        <v>590</v>
      </c>
      <c r="B19" s="9" t="s">
        <v>66</v>
      </c>
      <c r="C19" s="9" t="s">
        <v>67</v>
      </c>
      <c r="D19" s="9" t="s">
        <v>212</v>
      </c>
      <c r="E19" s="9" t="s">
        <v>213</v>
      </c>
      <c r="F19" s="9" t="s">
        <v>214</v>
      </c>
      <c r="G19" s="9" t="s">
        <v>215</v>
      </c>
      <c r="H19" s="9" t="n">
        <v>365</v>
      </c>
      <c r="I19" s="10" t="n">
        <v>46261</v>
      </c>
      <c r="J19" s="9" t="s">
        <v>53</v>
      </c>
      <c r="K19" s="10"/>
      <c r="L19" s="9"/>
      <c r="M19" s="9" t="str">
        <f aca="true">IF(ISBLANK(K19),IF(TODAY()&gt;I19,"OVERDUE - NOT COMPLETED","PENDING - NOT YET DUE"),IF(K19&gt;I19,"COMPLETED LATE","COMPLETED ON TIME"))</f>
        <v>OVERDUE - NOT COMPLETED</v>
      </c>
    </row>
    <row r="20" customFormat="false" ht="15" hidden="false" customHeight="true" outlineLevel="0" collapsed="false">
      <c r="A20" s="9" t="s">
        <v>591</v>
      </c>
      <c r="B20" s="9" t="s">
        <v>66</v>
      </c>
      <c r="C20" s="9" t="s">
        <v>67</v>
      </c>
      <c r="D20" s="9" t="s">
        <v>219</v>
      </c>
      <c r="E20" s="9" t="s">
        <v>183</v>
      </c>
      <c r="F20" s="9" t="s">
        <v>184</v>
      </c>
      <c r="G20" s="9" t="s">
        <v>234</v>
      </c>
      <c r="H20" s="9" t="n">
        <v>365</v>
      </c>
      <c r="I20" s="10" t="n">
        <v>46060</v>
      </c>
      <c r="J20" s="9" t="s">
        <v>135</v>
      </c>
      <c r="K20" s="10" t="n">
        <v>46060</v>
      </c>
      <c r="L20" s="9" t="s">
        <v>572</v>
      </c>
      <c r="M20" s="9" t="str">
        <f aca="true">IF(ISBLANK(K20),IF(TODAY()&gt;I20,"OVERDUE - NOT COMPLETED","PENDING - NOT YET DUE"),IF(K20&gt;I20,"COMPLETED LATE","COMPLETED ON TIME"))</f>
        <v>COMPLETED ON TIME</v>
      </c>
    </row>
    <row r="21" customFormat="false" ht="15" hidden="false" customHeight="true" outlineLevel="0" collapsed="false">
      <c r="A21" s="9" t="s">
        <v>592</v>
      </c>
      <c r="B21" s="9" t="s">
        <v>66</v>
      </c>
      <c r="C21" s="9" t="s">
        <v>67</v>
      </c>
      <c r="D21" s="9" t="s">
        <v>219</v>
      </c>
      <c r="E21" s="9" t="s">
        <v>185</v>
      </c>
      <c r="F21" s="9" t="s">
        <v>186</v>
      </c>
      <c r="G21" s="9" t="s">
        <v>226</v>
      </c>
      <c r="H21" s="9" t="n">
        <v>90</v>
      </c>
      <c r="I21" s="10" t="n">
        <v>46231</v>
      </c>
      <c r="J21" s="9" t="s">
        <v>50</v>
      </c>
      <c r="K21" s="10" t="n">
        <v>46212</v>
      </c>
      <c r="L21" s="9" t="s">
        <v>577</v>
      </c>
      <c r="M21" s="9" t="str">
        <f aca="true">IF(ISBLANK(K21),IF(TODAY()&gt;I21,"OVERDUE - NOT COMPLETED","PENDING - NOT YET DUE"),IF(K21&gt;I21,"COMPLETED LATE","COMPLETED ON TIME"))</f>
        <v>COMPLETED ON TIME</v>
      </c>
    </row>
    <row r="22" customFormat="false" ht="15" hidden="false" customHeight="true" outlineLevel="0" collapsed="false">
      <c r="A22" s="9" t="s">
        <v>593</v>
      </c>
      <c r="B22" s="9" t="s">
        <v>70</v>
      </c>
      <c r="C22" s="9" t="s">
        <v>71</v>
      </c>
      <c r="D22" s="9" t="s">
        <v>212</v>
      </c>
      <c r="E22" s="9" t="s">
        <v>224</v>
      </c>
      <c r="F22" s="9" t="s">
        <v>225</v>
      </c>
      <c r="G22" s="9" t="s">
        <v>226</v>
      </c>
      <c r="H22" s="9" t="n">
        <v>90</v>
      </c>
      <c r="I22" s="10" t="n">
        <v>46253</v>
      </c>
      <c r="J22" s="9" t="s">
        <v>104</v>
      </c>
      <c r="K22" s="10"/>
      <c r="L22" s="9"/>
      <c r="M22" s="9" t="str">
        <f aca="true">IF(ISBLANK(K22),IF(TODAY()&gt;I22,"OVERDUE - NOT COMPLETED","PENDING - NOT YET DUE"),IF(K22&gt;I22,"COMPLETED LATE","COMPLETED ON TIME"))</f>
        <v>OVERDUE - NOT COMPLETED</v>
      </c>
    </row>
    <row r="23" customFormat="false" ht="15" hidden="false" customHeight="true" outlineLevel="0" collapsed="false">
      <c r="A23" s="9" t="s">
        <v>594</v>
      </c>
      <c r="B23" s="9" t="s">
        <v>70</v>
      </c>
      <c r="C23" s="9" t="s">
        <v>71</v>
      </c>
      <c r="D23" s="9" t="s">
        <v>219</v>
      </c>
      <c r="E23" s="9" t="s">
        <v>220</v>
      </c>
      <c r="F23" s="9" t="s">
        <v>221</v>
      </c>
      <c r="G23" s="9" t="s">
        <v>215</v>
      </c>
      <c r="H23" s="9" t="n">
        <v>365</v>
      </c>
      <c r="I23" s="10" t="n">
        <v>46386</v>
      </c>
      <c r="J23" s="9" t="s">
        <v>41</v>
      </c>
      <c r="K23" s="10"/>
      <c r="L23" s="9"/>
      <c r="M23" s="9" t="str">
        <f aca="true">IF(ISBLANK(K23),IF(TODAY()&gt;I23,"OVERDUE - NOT COMPLETED","PENDING - NOT YET DUE"),IF(K23&gt;I23,"COMPLETED LATE","COMPLETED ON TIME"))</f>
        <v>PENDING - NOT YET DUE</v>
      </c>
    </row>
    <row r="24" customFormat="false" ht="15" hidden="false" customHeight="true" outlineLevel="0" collapsed="false">
      <c r="A24" s="9" t="s">
        <v>595</v>
      </c>
      <c r="B24" s="9" t="s">
        <v>72</v>
      </c>
      <c r="C24" s="9" t="s">
        <v>73</v>
      </c>
      <c r="D24" s="9" t="s">
        <v>212</v>
      </c>
      <c r="E24" s="9" t="s">
        <v>213</v>
      </c>
      <c r="F24" s="9" t="s">
        <v>214</v>
      </c>
      <c r="G24" s="9" t="s">
        <v>215</v>
      </c>
      <c r="H24" s="9" t="n">
        <v>365</v>
      </c>
      <c r="I24" s="10" t="n">
        <v>46445</v>
      </c>
      <c r="J24" s="9" t="s">
        <v>62</v>
      </c>
      <c r="K24" s="10"/>
      <c r="L24" s="9"/>
      <c r="M24" s="9" t="str">
        <f aca="true">IF(ISBLANK(K24),IF(TODAY()&gt;I24,"OVERDUE - NOT COMPLETED","PENDING - NOT YET DUE"),IF(K24&gt;I24,"COMPLETED LATE","COMPLETED ON TIME"))</f>
        <v>PENDING - NOT YET DUE</v>
      </c>
    </row>
    <row r="25" customFormat="false" ht="15" hidden="false" customHeight="true" outlineLevel="0" collapsed="false">
      <c r="A25" s="9" t="s">
        <v>596</v>
      </c>
      <c r="B25" s="9" t="s">
        <v>72</v>
      </c>
      <c r="C25" s="9" t="s">
        <v>73</v>
      </c>
      <c r="D25" s="9" t="s">
        <v>269</v>
      </c>
      <c r="E25" s="9" t="s">
        <v>195</v>
      </c>
      <c r="F25" s="9" t="s">
        <v>196</v>
      </c>
      <c r="G25" s="9" t="s">
        <v>234</v>
      </c>
      <c r="H25" s="9" t="n">
        <v>365</v>
      </c>
      <c r="I25" s="10" t="n">
        <v>46279</v>
      </c>
      <c r="J25" s="9" t="s">
        <v>45</v>
      </c>
      <c r="K25" s="10" t="n">
        <v>46274</v>
      </c>
      <c r="L25" s="9" t="s">
        <v>572</v>
      </c>
      <c r="M25" s="9" t="str">
        <f aca="true">IF(ISBLANK(K25),IF(TODAY()&gt;I25,"OVERDUE - NOT COMPLETED","PENDING - NOT YET DUE"),IF(K25&gt;I25,"COMPLETED LATE","COMPLETED ON TIME"))</f>
        <v>COMPLETED ON TIME</v>
      </c>
    </row>
    <row r="26" customFormat="false" ht="15" hidden="false" customHeight="true" outlineLevel="0" collapsed="false">
      <c r="A26" s="9" t="s">
        <v>597</v>
      </c>
      <c r="B26" s="9" t="s">
        <v>72</v>
      </c>
      <c r="C26" s="9" t="s">
        <v>73</v>
      </c>
      <c r="D26" s="9" t="s">
        <v>269</v>
      </c>
      <c r="E26" s="9" t="s">
        <v>197</v>
      </c>
      <c r="F26" s="9" t="s">
        <v>198</v>
      </c>
      <c r="G26" s="9" t="s">
        <v>226</v>
      </c>
      <c r="H26" s="9" t="n">
        <v>90</v>
      </c>
      <c r="I26" s="10" t="n">
        <v>46210</v>
      </c>
      <c r="J26" s="9" t="s">
        <v>50</v>
      </c>
      <c r="K26" s="10" t="n">
        <v>46194</v>
      </c>
      <c r="L26" s="9" t="s">
        <v>577</v>
      </c>
      <c r="M26" s="9" t="str">
        <f aca="true">IF(ISBLANK(K26),IF(TODAY()&gt;I26,"OVERDUE - NOT COMPLETED","PENDING - NOT YET DUE"),IF(K26&gt;I26,"COMPLETED LATE","COMPLETED ON TIME"))</f>
        <v>COMPLETED ON TIME</v>
      </c>
    </row>
    <row r="27" customFormat="false" ht="15" hidden="false" customHeight="true" outlineLevel="0" collapsed="false">
      <c r="A27" s="9" t="s">
        <v>598</v>
      </c>
      <c r="B27" s="9" t="s">
        <v>74</v>
      </c>
      <c r="C27" s="9" t="s">
        <v>75</v>
      </c>
      <c r="D27" s="9" t="s">
        <v>240</v>
      </c>
      <c r="E27" s="9" t="s">
        <v>167</v>
      </c>
      <c r="F27" s="9" t="s">
        <v>168</v>
      </c>
      <c r="G27" s="9" t="s">
        <v>234</v>
      </c>
      <c r="H27" s="9" t="n">
        <v>365</v>
      </c>
      <c r="I27" s="10" t="n">
        <v>45962</v>
      </c>
      <c r="J27" s="9" t="s">
        <v>84</v>
      </c>
      <c r="K27" s="10" t="n">
        <v>45954</v>
      </c>
      <c r="L27" s="9" t="s">
        <v>572</v>
      </c>
      <c r="M27" s="9" t="str">
        <f aca="true">IF(ISBLANK(K27),IF(TODAY()&gt;I27,"OVERDUE - NOT COMPLETED","PENDING - NOT YET DUE"),IF(K27&gt;I27,"COMPLETED LATE","COMPLETED ON TIME"))</f>
        <v>COMPLETED ON TIME</v>
      </c>
    </row>
    <row r="28" customFormat="false" ht="15" hidden="false" customHeight="true" outlineLevel="0" collapsed="false">
      <c r="A28" s="9" t="s">
        <v>599</v>
      </c>
      <c r="B28" s="9" t="s">
        <v>74</v>
      </c>
      <c r="C28" s="9" t="s">
        <v>75</v>
      </c>
      <c r="D28" s="9" t="s">
        <v>240</v>
      </c>
      <c r="E28" s="9" t="s">
        <v>173</v>
      </c>
      <c r="F28" s="9" t="s">
        <v>174</v>
      </c>
      <c r="G28" s="9" t="s">
        <v>234</v>
      </c>
      <c r="H28" s="9" t="n">
        <v>365</v>
      </c>
      <c r="I28" s="10" t="n">
        <v>46271</v>
      </c>
      <c r="J28" s="9" t="s">
        <v>45</v>
      </c>
      <c r="K28" s="10" t="n">
        <v>46251</v>
      </c>
      <c r="L28" s="9" t="s">
        <v>572</v>
      </c>
      <c r="M28" s="9" t="str">
        <f aca="true">IF(ISBLANK(K28),IF(TODAY()&gt;I28,"OVERDUE - NOT COMPLETED","PENDING - NOT YET DUE"),IF(K28&gt;I28,"COMPLETED LATE","COMPLETED ON TIME"))</f>
        <v>COMPLETED ON TIME</v>
      </c>
    </row>
    <row r="29" customFormat="false" ht="15" hidden="false" customHeight="true" outlineLevel="0" collapsed="false">
      <c r="A29" s="9" t="s">
        <v>600</v>
      </c>
      <c r="B29" s="9" t="s">
        <v>74</v>
      </c>
      <c r="C29" s="9" t="s">
        <v>75</v>
      </c>
      <c r="D29" s="9" t="s">
        <v>212</v>
      </c>
      <c r="E29" s="9" t="s">
        <v>213</v>
      </c>
      <c r="F29" s="9" t="s">
        <v>214</v>
      </c>
      <c r="G29" s="9" t="s">
        <v>215</v>
      </c>
      <c r="H29" s="9" t="n">
        <v>365</v>
      </c>
      <c r="I29" s="10" t="n">
        <v>46054</v>
      </c>
      <c r="J29" s="9" t="s">
        <v>69</v>
      </c>
      <c r="K29" s="10" t="n">
        <v>46044</v>
      </c>
      <c r="L29" s="9" t="s">
        <v>572</v>
      </c>
      <c r="M29" s="9" t="str">
        <f aca="true">IF(ISBLANK(K29),IF(TODAY()&gt;I29,"OVERDUE - NOT COMPLETED","PENDING - NOT YET DUE"),IF(K29&gt;I29,"COMPLETED LATE","COMPLETED ON TIME"))</f>
        <v>COMPLETED ON TIME</v>
      </c>
    </row>
    <row r="30" customFormat="false" ht="15" hidden="false" customHeight="true" outlineLevel="0" collapsed="false">
      <c r="A30" s="9" t="s">
        <v>601</v>
      </c>
      <c r="B30" s="9" t="s">
        <v>74</v>
      </c>
      <c r="C30" s="9" t="s">
        <v>75</v>
      </c>
      <c r="D30" s="9" t="s">
        <v>240</v>
      </c>
      <c r="E30" s="9" t="s">
        <v>169</v>
      </c>
      <c r="F30" s="9" t="s">
        <v>170</v>
      </c>
      <c r="G30" s="9" t="s">
        <v>234</v>
      </c>
      <c r="H30" s="9" t="n">
        <v>365</v>
      </c>
      <c r="I30" s="10" t="n">
        <v>46393</v>
      </c>
      <c r="J30" s="9" t="s">
        <v>135</v>
      </c>
      <c r="K30" s="10" t="n">
        <v>46389</v>
      </c>
      <c r="L30" s="9" t="s">
        <v>572</v>
      </c>
      <c r="M30" s="9" t="str">
        <f aca="true">IF(ISBLANK(K30),IF(TODAY()&gt;I30,"OVERDUE - NOT COMPLETED","PENDING - NOT YET DUE"),IF(K30&gt;I30,"COMPLETED LATE","COMPLETED ON TIME"))</f>
        <v>COMPLETED ON TIME</v>
      </c>
    </row>
    <row r="31" customFormat="false" ht="15" hidden="false" customHeight="true" outlineLevel="0" collapsed="false">
      <c r="A31" s="9" t="s">
        <v>602</v>
      </c>
      <c r="B31" s="9" t="s">
        <v>77</v>
      </c>
      <c r="C31" s="9" t="s">
        <v>78</v>
      </c>
      <c r="D31" s="9" t="s">
        <v>212</v>
      </c>
      <c r="E31" s="9" t="s">
        <v>213</v>
      </c>
      <c r="F31" s="9" t="s">
        <v>214</v>
      </c>
      <c r="G31" s="9" t="s">
        <v>215</v>
      </c>
      <c r="H31" s="9" t="n">
        <v>365</v>
      </c>
      <c r="I31" s="10" t="n">
        <v>45955</v>
      </c>
      <c r="J31" s="9" t="s">
        <v>104</v>
      </c>
      <c r="K31" s="10" t="n">
        <v>45968</v>
      </c>
      <c r="L31" s="9" t="s">
        <v>572</v>
      </c>
      <c r="M31" s="9" t="str">
        <f aca="true">IF(ISBLANK(K31),IF(TODAY()&gt;I31,"OVERDUE - NOT COMPLETED","PENDING - NOT YET DUE"),IF(K31&gt;I31,"COMPLETED LATE","COMPLETED ON TIME"))</f>
        <v>COMPLETED LATE</v>
      </c>
    </row>
    <row r="32" customFormat="false" ht="15" hidden="false" customHeight="true" outlineLevel="0" collapsed="false">
      <c r="A32" s="9" t="s">
        <v>603</v>
      </c>
      <c r="B32" s="9" t="s">
        <v>77</v>
      </c>
      <c r="C32" s="9" t="s">
        <v>78</v>
      </c>
      <c r="D32" s="9" t="s">
        <v>212</v>
      </c>
      <c r="E32" s="9" t="s">
        <v>224</v>
      </c>
      <c r="F32" s="9" t="s">
        <v>225</v>
      </c>
      <c r="G32" s="9" t="s">
        <v>226</v>
      </c>
      <c r="H32" s="9" t="n">
        <v>90</v>
      </c>
      <c r="I32" s="10" t="n">
        <v>46324</v>
      </c>
      <c r="J32" s="9" t="s">
        <v>84</v>
      </c>
      <c r="K32" s="10" t="n">
        <v>46307</v>
      </c>
      <c r="L32" s="9" t="s">
        <v>572</v>
      </c>
      <c r="M32" s="9" t="str">
        <f aca="true">IF(ISBLANK(K32),IF(TODAY()&gt;I32,"OVERDUE - NOT COMPLETED","PENDING - NOT YET DUE"),IF(K32&gt;I32,"COMPLETED LATE","COMPLETED ON TIME"))</f>
        <v>COMPLETED ON TIME</v>
      </c>
    </row>
    <row r="33" customFormat="false" ht="15" hidden="false" customHeight="true" outlineLevel="0" collapsed="false">
      <c r="A33" s="9" t="s">
        <v>604</v>
      </c>
      <c r="B33" s="9" t="s">
        <v>77</v>
      </c>
      <c r="C33" s="9" t="s">
        <v>78</v>
      </c>
      <c r="D33" s="9" t="s">
        <v>219</v>
      </c>
      <c r="E33" s="9" t="s">
        <v>220</v>
      </c>
      <c r="F33" s="9" t="s">
        <v>221</v>
      </c>
      <c r="G33" s="9" t="s">
        <v>215</v>
      </c>
      <c r="H33" s="9" t="n">
        <v>365</v>
      </c>
      <c r="I33" s="10" t="n">
        <v>46113</v>
      </c>
      <c r="J33" s="9" t="s">
        <v>104</v>
      </c>
      <c r="K33" s="10" t="n">
        <v>46206</v>
      </c>
      <c r="L33" s="9" t="s">
        <v>572</v>
      </c>
      <c r="M33" s="9" t="str">
        <f aca="true">IF(ISBLANK(K33),IF(TODAY()&gt;I33,"OVERDUE - NOT COMPLETED","PENDING - NOT YET DUE"),IF(K33&gt;I33,"COMPLETED LATE","COMPLETED ON TIME"))</f>
        <v>COMPLETED LATE</v>
      </c>
    </row>
    <row r="34" customFormat="false" ht="15" hidden="false" customHeight="true" outlineLevel="0" collapsed="false">
      <c r="A34" s="9" t="s">
        <v>605</v>
      </c>
      <c r="B34" s="9" t="s">
        <v>79</v>
      </c>
      <c r="C34" s="9" t="s">
        <v>80</v>
      </c>
      <c r="D34" s="9" t="s">
        <v>240</v>
      </c>
      <c r="E34" s="9" t="s">
        <v>179</v>
      </c>
      <c r="F34" s="9" t="s">
        <v>180</v>
      </c>
      <c r="G34" s="9" t="s">
        <v>226</v>
      </c>
      <c r="H34" s="9" t="n">
        <v>90</v>
      </c>
      <c r="I34" s="10" t="n">
        <v>46304</v>
      </c>
      <c r="J34" s="9" t="s">
        <v>84</v>
      </c>
      <c r="K34" s="10" t="n">
        <v>46292</v>
      </c>
      <c r="L34" s="9" t="s">
        <v>572</v>
      </c>
      <c r="M34" s="9" t="str">
        <f aca="true">IF(ISBLANK(K34),IF(TODAY()&gt;I34,"OVERDUE - NOT COMPLETED","PENDING - NOT YET DUE"),IF(K34&gt;I34,"COMPLETED LATE","COMPLETED ON TIME"))</f>
        <v>COMPLETED ON TIME</v>
      </c>
    </row>
    <row r="35" customFormat="false" ht="15" hidden="false" customHeight="true" outlineLevel="0" collapsed="false">
      <c r="A35" s="9" t="s">
        <v>606</v>
      </c>
      <c r="B35" s="9" t="s">
        <v>82</v>
      </c>
      <c r="C35" s="9" t="s">
        <v>83</v>
      </c>
      <c r="D35" s="9" t="s">
        <v>269</v>
      </c>
      <c r="E35" s="9" t="s">
        <v>195</v>
      </c>
      <c r="F35" s="9" t="s">
        <v>196</v>
      </c>
      <c r="G35" s="9" t="s">
        <v>234</v>
      </c>
      <c r="H35" s="9" t="n">
        <v>365</v>
      </c>
      <c r="I35" s="10" t="n">
        <v>46294</v>
      </c>
      <c r="J35" s="9" t="s">
        <v>50</v>
      </c>
      <c r="K35" s="10"/>
      <c r="L35" s="9"/>
      <c r="M35" s="9" t="str">
        <f aca="true">IF(ISBLANK(K35),IF(TODAY()&gt;I35,"OVERDUE - NOT COMPLETED","PENDING - NOT YET DUE"),IF(K35&gt;I35,"COMPLETED LATE","COMPLETED ON TIME"))</f>
        <v>PENDING - NOT YET DUE</v>
      </c>
    </row>
    <row r="36" customFormat="false" ht="15" hidden="false" customHeight="true" outlineLevel="0" collapsed="false">
      <c r="A36" s="9" t="s">
        <v>607</v>
      </c>
      <c r="B36" s="9" t="s">
        <v>85</v>
      </c>
      <c r="C36" s="9" t="s">
        <v>86</v>
      </c>
      <c r="D36" s="9" t="s">
        <v>219</v>
      </c>
      <c r="E36" s="9" t="s">
        <v>220</v>
      </c>
      <c r="F36" s="9" t="s">
        <v>221</v>
      </c>
      <c r="G36" s="9" t="s">
        <v>215</v>
      </c>
      <c r="H36" s="9" t="n">
        <v>365</v>
      </c>
      <c r="I36" s="10" t="n">
        <v>46358</v>
      </c>
      <c r="J36" s="9" t="s">
        <v>62</v>
      </c>
      <c r="K36" s="10" t="n">
        <v>46353</v>
      </c>
      <c r="L36" s="9" t="s">
        <v>577</v>
      </c>
      <c r="M36" s="9" t="str">
        <f aca="true">IF(ISBLANK(K36),IF(TODAY()&gt;I36,"OVERDUE - NOT COMPLETED","PENDING - NOT YET DUE"),IF(K36&gt;I36,"COMPLETED LATE","COMPLETED ON TIME"))</f>
        <v>COMPLETED ON TIME</v>
      </c>
    </row>
    <row r="37" customFormat="false" ht="15" hidden="false" customHeight="true" outlineLevel="0" collapsed="false">
      <c r="A37" s="9" t="s">
        <v>608</v>
      </c>
      <c r="B37" s="9" t="s">
        <v>85</v>
      </c>
      <c r="C37" s="9" t="s">
        <v>86</v>
      </c>
      <c r="D37" s="9" t="s">
        <v>212</v>
      </c>
      <c r="E37" s="9" t="s">
        <v>213</v>
      </c>
      <c r="F37" s="9" t="s">
        <v>214</v>
      </c>
      <c r="G37" s="9" t="s">
        <v>215</v>
      </c>
      <c r="H37" s="9" t="n">
        <v>365</v>
      </c>
      <c r="I37" s="10" t="n">
        <v>45999</v>
      </c>
      <c r="J37" s="9" t="s">
        <v>57</v>
      </c>
      <c r="K37" s="10" t="n">
        <v>45990</v>
      </c>
      <c r="L37" s="9" t="s">
        <v>572</v>
      </c>
      <c r="M37" s="9" t="str">
        <f aca="true">IF(ISBLANK(K37),IF(TODAY()&gt;I37,"OVERDUE - NOT COMPLETED","PENDING - NOT YET DUE"),IF(K37&gt;I37,"COMPLETED LATE","COMPLETED ON TIME"))</f>
        <v>COMPLETED ON TIME</v>
      </c>
    </row>
    <row r="38" customFormat="false" ht="15" hidden="false" customHeight="true" outlineLevel="0" collapsed="false">
      <c r="A38" s="9" t="s">
        <v>609</v>
      </c>
      <c r="B38" s="9" t="s">
        <v>85</v>
      </c>
      <c r="C38" s="9" t="s">
        <v>86</v>
      </c>
      <c r="D38" s="9" t="s">
        <v>269</v>
      </c>
      <c r="E38" s="9" t="s">
        <v>195</v>
      </c>
      <c r="F38" s="9" t="s">
        <v>196</v>
      </c>
      <c r="G38" s="9" t="s">
        <v>234</v>
      </c>
      <c r="H38" s="9" t="n">
        <v>365</v>
      </c>
      <c r="I38" s="10" t="n">
        <v>46088</v>
      </c>
      <c r="J38" s="9" t="s">
        <v>135</v>
      </c>
      <c r="K38" s="10" t="n">
        <v>46087</v>
      </c>
      <c r="L38" s="9" t="s">
        <v>572</v>
      </c>
      <c r="M38" s="9" t="str">
        <f aca="true">IF(ISBLANK(K38),IF(TODAY()&gt;I38,"OVERDUE - NOT COMPLETED","PENDING - NOT YET DUE"),IF(K38&gt;I38,"COMPLETED LATE","COMPLETED ON TIME"))</f>
        <v>COMPLETED ON TIME</v>
      </c>
    </row>
    <row r="39" customFormat="false" ht="15" hidden="false" customHeight="true" outlineLevel="0" collapsed="false">
      <c r="A39" s="9" t="s">
        <v>610</v>
      </c>
      <c r="B39" s="9" t="s">
        <v>85</v>
      </c>
      <c r="C39" s="9" t="s">
        <v>86</v>
      </c>
      <c r="D39" s="9" t="s">
        <v>269</v>
      </c>
      <c r="E39" s="9" t="s">
        <v>197</v>
      </c>
      <c r="F39" s="9" t="s">
        <v>198</v>
      </c>
      <c r="G39" s="9" t="s">
        <v>226</v>
      </c>
      <c r="H39" s="9" t="n">
        <v>90</v>
      </c>
      <c r="I39" s="10" t="n">
        <v>46263</v>
      </c>
      <c r="J39" s="9" t="s">
        <v>69</v>
      </c>
      <c r="K39" s="10"/>
      <c r="L39" s="9"/>
      <c r="M39" s="9" t="str">
        <f aca="true">IF(ISBLANK(K39),IF(TODAY()&gt;I39,"OVERDUE - NOT COMPLETED","PENDING - NOT YET DUE"),IF(K39&gt;I39,"COMPLETED LATE","COMPLETED ON TIME"))</f>
        <v>OVERDUE - NOT COMPLETED</v>
      </c>
    </row>
    <row r="40" customFormat="false" ht="15" hidden="false" customHeight="true" outlineLevel="0" collapsed="false">
      <c r="A40" s="9" t="s">
        <v>611</v>
      </c>
      <c r="B40" s="9" t="s">
        <v>87</v>
      </c>
      <c r="C40" s="9" t="s">
        <v>88</v>
      </c>
      <c r="D40" s="9" t="s">
        <v>219</v>
      </c>
      <c r="E40" s="9" t="s">
        <v>185</v>
      </c>
      <c r="F40" s="9" t="s">
        <v>186</v>
      </c>
      <c r="G40" s="9" t="s">
        <v>226</v>
      </c>
      <c r="H40" s="9" t="n">
        <v>90</v>
      </c>
      <c r="I40" s="10" t="n">
        <v>46324</v>
      </c>
      <c r="J40" s="9" t="s">
        <v>53</v>
      </c>
      <c r="K40" s="10" t="n">
        <v>46320</v>
      </c>
      <c r="L40" s="9" t="s">
        <v>612</v>
      </c>
      <c r="M40" s="9" t="str">
        <f aca="true">IF(ISBLANK(K40),IF(TODAY()&gt;I40,"OVERDUE - NOT COMPLETED","PENDING - NOT YET DUE"),IF(K40&gt;I40,"COMPLETED LATE","COMPLETED ON TIME"))</f>
        <v>COMPLETED ON TIME</v>
      </c>
    </row>
    <row r="41" customFormat="false" ht="15" hidden="false" customHeight="true" outlineLevel="0" collapsed="false">
      <c r="A41" s="9" t="s">
        <v>613</v>
      </c>
      <c r="B41" s="9" t="s">
        <v>87</v>
      </c>
      <c r="C41" s="9" t="s">
        <v>88</v>
      </c>
      <c r="D41" s="9" t="s">
        <v>219</v>
      </c>
      <c r="E41" s="9" t="s">
        <v>220</v>
      </c>
      <c r="F41" s="9" t="s">
        <v>221</v>
      </c>
      <c r="G41" s="9" t="s">
        <v>215</v>
      </c>
      <c r="H41" s="9" t="n">
        <v>365</v>
      </c>
      <c r="I41" s="10" t="n">
        <v>45953</v>
      </c>
      <c r="J41" s="9" t="s">
        <v>53</v>
      </c>
      <c r="K41" s="10"/>
      <c r="L41" s="9"/>
      <c r="M41" s="9" t="str">
        <f aca="true">IF(ISBLANK(K41),IF(TODAY()&gt;I41,"OVERDUE - NOT COMPLETED","PENDING - NOT YET DUE"),IF(K41&gt;I41,"COMPLETED LATE","COMPLETED ON TIME"))</f>
        <v>OVERDUE - NOT COMPLETED</v>
      </c>
    </row>
    <row r="42" customFormat="false" ht="15" hidden="false" customHeight="true" outlineLevel="0" collapsed="false">
      <c r="A42" s="9" t="s">
        <v>614</v>
      </c>
      <c r="B42" s="9" t="s">
        <v>87</v>
      </c>
      <c r="C42" s="9" t="s">
        <v>88</v>
      </c>
      <c r="D42" s="9" t="s">
        <v>212</v>
      </c>
      <c r="E42" s="9" t="s">
        <v>213</v>
      </c>
      <c r="F42" s="9" t="s">
        <v>214</v>
      </c>
      <c r="G42" s="9" t="s">
        <v>215</v>
      </c>
      <c r="H42" s="9" t="n">
        <v>365</v>
      </c>
      <c r="I42" s="10" t="n">
        <v>46288</v>
      </c>
      <c r="J42" s="9" t="s">
        <v>84</v>
      </c>
      <c r="K42" s="10" t="n">
        <v>46287</v>
      </c>
      <c r="L42" s="9" t="s">
        <v>612</v>
      </c>
      <c r="M42" s="9" t="str">
        <f aca="true">IF(ISBLANK(K42),IF(TODAY()&gt;I42,"OVERDUE - NOT COMPLETED","PENDING - NOT YET DUE"),IF(K42&gt;I42,"COMPLETED LATE","COMPLETED ON TIME"))</f>
        <v>COMPLETED ON TIME</v>
      </c>
    </row>
    <row r="43" customFormat="false" ht="15" hidden="false" customHeight="true" outlineLevel="0" collapsed="false">
      <c r="A43" s="9" t="s">
        <v>615</v>
      </c>
      <c r="B43" s="9" t="s">
        <v>87</v>
      </c>
      <c r="C43" s="9" t="s">
        <v>88</v>
      </c>
      <c r="D43" s="9" t="s">
        <v>219</v>
      </c>
      <c r="E43" s="9" t="s">
        <v>183</v>
      </c>
      <c r="F43" s="9" t="s">
        <v>184</v>
      </c>
      <c r="G43" s="9" t="s">
        <v>234</v>
      </c>
      <c r="H43" s="9" t="n">
        <v>365</v>
      </c>
      <c r="I43" s="10" t="n">
        <v>46297</v>
      </c>
      <c r="J43" s="9" t="s">
        <v>57</v>
      </c>
      <c r="K43" s="10" t="n">
        <v>46295</v>
      </c>
      <c r="L43" s="9" t="s">
        <v>612</v>
      </c>
      <c r="M43" s="9" t="str">
        <f aca="true">IF(ISBLANK(K43),IF(TODAY()&gt;I43,"OVERDUE - NOT COMPLETED","PENDING - NOT YET DUE"),IF(K43&gt;I43,"COMPLETED LATE","COMPLETED ON TIME"))</f>
        <v>COMPLETED ON TIME</v>
      </c>
    </row>
    <row r="44" customFormat="false" ht="15" hidden="false" customHeight="true" outlineLevel="0" collapsed="false">
      <c r="A44" s="9" t="s">
        <v>616</v>
      </c>
      <c r="B44" s="9" t="s">
        <v>89</v>
      </c>
      <c r="C44" s="9" t="s">
        <v>90</v>
      </c>
      <c r="D44" s="9" t="s">
        <v>240</v>
      </c>
      <c r="E44" s="9" t="s">
        <v>173</v>
      </c>
      <c r="F44" s="9" t="s">
        <v>174</v>
      </c>
      <c r="G44" s="9" t="s">
        <v>234</v>
      </c>
      <c r="H44" s="9" t="n">
        <v>365</v>
      </c>
      <c r="I44" s="10" t="n">
        <v>46325</v>
      </c>
      <c r="J44" s="9" t="s">
        <v>57</v>
      </c>
      <c r="K44" s="10" t="n">
        <v>46318</v>
      </c>
      <c r="L44" s="9" t="s">
        <v>572</v>
      </c>
      <c r="M44" s="9" t="str">
        <f aca="true">IF(ISBLANK(K44),IF(TODAY()&gt;I44,"OVERDUE - NOT COMPLETED","PENDING - NOT YET DUE"),IF(K44&gt;I44,"COMPLETED LATE","COMPLETED ON TIME"))</f>
        <v>COMPLETED ON TIME</v>
      </c>
    </row>
    <row r="45" customFormat="false" ht="15" hidden="false" customHeight="true" outlineLevel="0" collapsed="false">
      <c r="A45" s="9" t="s">
        <v>617</v>
      </c>
      <c r="B45" s="9" t="s">
        <v>89</v>
      </c>
      <c r="C45" s="9" t="s">
        <v>90</v>
      </c>
      <c r="D45" s="9" t="s">
        <v>269</v>
      </c>
      <c r="E45" s="9" t="s">
        <v>195</v>
      </c>
      <c r="F45" s="9" t="s">
        <v>196</v>
      </c>
      <c r="G45" s="9" t="s">
        <v>234</v>
      </c>
      <c r="H45" s="9" t="n">
        <v>365</v>
      </c>
      <c r="I45" s="10" t="n">
        <v>46429</v>
      </c>
      <c r="J45" s="9" t="s">
        <v>50</v>
      </c>
      <c r="K45" s="10" t="n">
        <v>46412</v>
      </c>
      <c r="L45" s="9" t="s">
        <v>572</v>
      </c>
      <c r="M45" s="9" t="str">
        <f aca="true">IF(ISBLANK(K45),IF(TODAY()&gt;I45,"OVERDUE - NOT COMPLETED","PENDING - NOT YET DUE"),IF(K45&gt;I45,"COMPLETED LATE","COMPLETED ON TIME"))</f>
        <v>COMPLETED ON TIME</v>
      </c>
    </row>
    <row r="46" customFormat="false" ht="15" hidden="false" customHeight="true" outlineLevel="0" collapsed="false">
      <c r="A46" s="9" t="s">
        <v>618</v>
      </c>
      <c r="B46" s="9" t="s">
        <v>91</v>
      </c>
      <c r="C46" s="9" t="s">
        <v>92</v>
      </c>
      <c r="D46" s="9" t="s">
        <v>212</v>
      </c>
      <c r="E46" s="9" t="s">
        <v>213</v>
      </c>
      <c r="F46" s="9" t="s">
        <v>214</v>
      </c>
      <c r="G46" s="9" t="s">
        <v>215</v>
      </c>
      <c r="H46" s="9" t="n">
        <v>365</v>
      </c>
      <c r="I46" s="10" t="n">
        <v>46374</v>
      </c>
      <c r="J46" s="9" t="s">
        <v>45</v>
      </c>
      <c r="K46" s="10" t="n">
        <v>46365</v>
      </c>
      <c r="L46" s="9" t="s">
        <v>572</v>
      </c>
      <c r="M46" s="9" t="str">
        <f aca="true">IF(ISBLANK(K46),IF(TODAY()&gt;I46,"OVERDUE - NOT COMPLETED","PENDING - NOT YET DUE"),IF(K46&gt;I46,"COMPLETED LATE","COMPLETED ON TIME"))</f>
        <v>COMPLETED ON TIME</v>
      </c>
    </row>
    <row r="47" customFormat="false" ht="15" hidden="false" customHeight="true" outlineLevel="0" collapsed="false">
      <c r="A47" s="9" t="s">
        <v>619</v>
      </c>
      <c r="B47" s="9" t="s">
        <v>91</v>
      </c>
      <c r="C47" s="9" t="s">
        <v>92</v>
      </c>
      <c r="D47" s="9" t="s">
        <v>219</v>
      </c>
      <c r="E47" s="9" t="s">
        <v>185</v>
      </c>
      <c r="F47" s="9" t="s">
        <v>186</v>
      </c>
      <c r="G47" s="9" t="s">
        <v>226</v>
      </c>
      <c r="H47" s="9" t="n">
        <v>90</v>
      </c>
      <c r="I47" s="10" t="n">
        <v>46211</v>
      </c>
      <c r="J47" s="9" t="s">
        <v>135</v>
      </c>
      <c r="K47" s="10" t="n">
        <v>46240</v>
      </c>
      <c r="L47" s="9" t="s">
        <v>572</v>
      </c>
      <c r="M47" s="9" t="str">
        <f aca="true">IF(ISBLANK(K47),IF(TODAY()&gt;I47,"OVERDUE - NOT COMPLETED","PENDING - NOT YET DUE"),IF(K47&gt;I47,"COMPLETED LATE","COMPLETED ON TIME"))</f>
        <v>COMPLETED LATE</v>
      </c>
    </row>
    <row r="48" customFormat="false" ht="15" hidden="false" customHeight="true" outlineLevel="0" collapsed="false">
      <c r="A48" s="9" t="s">
        <v>620</v>
      </c>
      <c r="B48" s="9" t="s">
        <v>93</v>
      </c>
      <c r="C48" s="9" t="s">
        <v>94</v>
      </c>
      <c r="D48" s="9" t="s">
        <v>212</v>
      </c>
      <c r="E48" s="9" t="s">
        <v>213</v>
      </c>
      <c r="F48" s="9" t="s">
        <v>214</v>
      </c>
      <c r="G48" s="9" t="s">
        <v>215</v>
      </c>
      <c r="H48" s="9" t="n">
        <v>365</v>
      </c>
      <c r="I48" s="10" t="n">
        <v>46273</v>
      </c>
      <c r="J48" s="9" t="s">
        <v>41</v>
      </c>
      <c r="K48" s="10" t="n">
        <v>46264</v>
      </c>
      <c r="L48" s="9" t="s">
        <v>572</v>
      </c>
      <c r="M48" s="9" t="str">
        <f aca="true">IF(ISBLANK(K48),IF(TODAY()&gt;I48,"OVERDUE - NOT COMPLETED","PENDING - NOT YET DUE"),IF(K48&gt;I48,"COMPLETED LATE","COMPLETED ON TIME"))</f>
        <v>COMPLETED ON TIME</v>
      </c>
    </row>
    <row r="49" customFormat="false" ht="15" hidden="false" customHeight="true" outlineLevel="0" collapsed="false">
      <c r="A49" s="9" t="s">
        <v>621</v>
      </c>
      <c r="B49" s="9" t="s">
        <v>93</v>
      </c>
      <c r="C49" s="9" t="s">
        <v>94</v>
      </c>
      <c r="D49" s="9" t="s">
        <v>240</v>
      </c>
      <c r="E49" s="9" t="s">
        <v>167</v>
      </c>
      <c r="F49" s="9" t="s">
        <v>168</v>
      </c>
      <c r="G49" s="9" t="s">
        <v>234</v>
      </c>
      <c r="H49" s="9" t="n">
        <v>365</v>
      </c>
      <c r="I49" s="10" t="n">
        <v>46096</v>
      </c>
      <c r="J49" s="9" t="s">
        <v>57</v>
      </c>
      <c r="K49" s="10" t="n">
        <v>46093</v>
      </c>
      <c r="L49" s="9" t="s">
        <v>572</v>
      </c>
      <c r="M49" s="9" t="str">
        <f aca="true">IF(ISBLANK(K49),IF(TODAY()&gt;I49,"OVERDUE - NOT COMPLETED","PENDING - NOT YET DUE"),IF(K49&gt;I49,"COMPLETED LATE","COMPLETED ON TIME"))</f>
        <v>COMPLETED ON TIME</v>
      </c>
    </row>
    <row r="50" customFormat="false" ht="15" hidden="false" customHeight="true" outlineLevel="0" collapsed="false">
      <c r="A50" s="9" t="s">
        <v>622</v>
      </c>
      <c r="B50" s="9" t="s">
        <v>95</v>
      </c>
      <c r="C50" s="9" t="s">
        <v>96</v>
      </c>
      <c r="D50" s="9" t="s">
        <v>219</v>
      </c>
      <c r="E50" s="9" t="s">
        <v>185</v>
      </c>
      <c r="F50" s="9" t="s">
        <v>186</v>
      </c>
      <c r="G50" s="9" t="s">
        <v>226</v>
      </c>
      <c r="H50" s="9" t="n">
        <v>90</v>
      </c>
      <c r="I50" s="10" t="n">
        <v>46319</v>
      </c>
      <c r="J50" s="9" t="s">
        <v>69</v>
      </c>
      <c r="K50" s="10" t="n">
        <v>46301</v>
      </c>
      <c r="L50" s="9" t="s">
        <v>572</v>
      </c>
      <c r="M50" s="9" t="str">
        <f aca="true">IF(ISBLANK(K50),IF(TODAY()&gt;I50,"OVERDUE - NOT COMPLETED","PENDING - NOT YET DUE"),IF(K50&gt;I50,"COMPLETED LATE","COMPLETED ON TIME"))</f>
        <v>COMPLETED ON TIME</v>
      </c>
    </row>
    <row r="51" customFormat="false" ht="15" hidden="false" customHeight="true" outlineLevel="0" collapsed="false">
      <c r="A51" s="9" t="s">
        <v>623</v>
      </c>
      <c r="B51" s="9" t="s">
        <v>95</v>
      </c>
      <c r="C51" s="9" t="s">
        <v>96</v>
      </c>
      <c r="D51" s="9" t="s">
        <v>219</v>
      </c>
      <c r="E51" s="9" t="s">
        <v>183</v>
      </c>
      <c r="F51" s="9" t="s">
        <v>184</v>
      </c>
      <c r="G51" s="9" t="s">
        <v>234</v>
      </c>
      <c r="H51" s="9" t="n">
        <v>365</v>
      </c>
      <c r="I51" s="10" t="n">
        <v>46050</v>
      </c>
      <c r="J51" s="9" t="s">
        <v>62</v>
      </c>
      <c r="K51" s="10" t="n">
        <v>46048</v>
      </c>
      <c r="L51" s="9" t="s">
        <v>572</v>
      </c>
      <c r="M51" s="9" t="str">
        <f aca="true">IF(ISBLANK(K51),IF(TODAY()&gt;I51,"OVERDUE - NOT COMPLETED","PENDING - NOT YET DUE"),IF(K51&gt;I51,"COMPLETED LATE","COMPLETED ON TIME"))</f>
        <v>COMPLETED ON TIME</v>
      </c>
    </row>
    <row r="52" customFormat="false" ht="15" hidden="false" customHeight="true" outlineLevel="0" collapsed="false">
      <c r="A52" s="9" t="s">
        <v>624</v>
      </c>
      <c r="B52" s="9" t="s">
        <v>95</v>
      </c>
      <c r="C52" s="9" t="s">
        <v>96</v>
      </c>
      <c r="D52" s="9" t="s">
        <v>219</v>
      </c>
      <c r="E52" s="9" t="s">
        <v>220</v>
      </c>
      <c r="F52" s="9" t="s">
        <v>221</v>
      </c>
      <c r="G52" s="9" t="s">
        <v>215</v>
      </c>
      <c r="H52" s="9" t="n">
        <v>365</v>
      </c>
      <c r="I52" s="10" t="n">
        <v>46456</v>
      </c>
      <c r="J52" s="9" t="s">
        <v>84</v>
      </c>
      <c r="K52" s="10" t="n">
        <v>46438</v>
      </c>
      <c r="L52" s="9" t="s">
        <v>572</v>
      </c>
      <c r="M52" s="9" t="str">
        <f aca="true">IF(ISBLANK(K52),IF(TODAY()&gt;I52,"OVERDUE - NOT COMPLETED","PENDING - NOT YET DUE"),IF(K52&gt;I52,"COMPLETED LATE","COMPLETED ON TIME"))</f>
        <v>COMPLETED ON TIME</v>
      </c>
    </row>
    <row r="53" customFormat="false" ht="15" hidden="false" customHeight="true" outlineLevel="0" collapsed="false">
      <c r="A53" s="9" t="s">
        <v>625</v>
      </c>
      <c r="B53" s="9" t="s">
        <v>95</v>
      </c>
      <c r="C53" s="9" t="s">
        <v>96</v>
      </c>
      <c r="D53" s="9" t="s">
        <v>212</v>
      </c>
      <c r="E53" s="9" t="s">
        <v>213</v>
      </c>
      <c r="F53" s="9" t="s">
        <v>214</v>
      </c>
      <c r="G53" s="9" t="s">
        <v>215</v>
      </c>
      <c r="H53" s="9" t="n">
        <v>365</v>
      </c>
      <c r="I53" s="10" t="n">
        <v>45993</v>
      </c>
      <c r="J53" s="9" t="s">
        <v>135</v>
      </c>
      <c r="K53" s="10" t="n">
        <v>46093</v>
      </c>
      <c r="L53" s="9" t="s">
        <v>572</v>
      </c>
      <c r="M53" s="9" t="str">
        <f aca="true">IF(ISBLANK(K53),IF(TODAY()&gt;I53,"OVERDUE - NOT COMPLETED","PENDING - NOT YET DUE"),IF(K53&gt;I53,"COMPLETED LATE","COMPLETED ON TIME"))</f>
        <v>COMPLETED LATE</v>
      </c>
    </row>
    <row r="54" customFormat="false" ht="15" hidden="false" customHeight="true" outlineLevel="0" collapsed="false">
      <c r="A54" s="9" t="s">
        <v>626</v>
      </c>
      <c r="B54" s="9" t="s">
        <v>98</v>
      </c>
      <c r="C54" s="9" t="s">
        <v>99</v>
      </c>
      <c r="D54" s="9" t="s">
        <v>240</v>
      </c>
      <c r="E54" s="9" t="s">
        <v>169</v>
      </c>
      <c r="F54" s="9" t="s">
        <v>170</v>
      </c>
      <c r="G54" s="9" t="s">
        <v>234</v>
      </c>
      <c r="H54" s="9" t="n">
        <v>365</v>
      </c>
      <c r="I54" s="10" t="n">
        <v>46104</v>
      </c>
      <c r="J54" s="9" t="s">
        <v>53</v>
      </c>
      <c r="K54" s="10" t="n">
        <v>46103</v>
      </c>
      <c r="L54" s="9" t="s">
        <v>572</v>
      </c>
      <c r="M54" s="9" t="str">
        <f aca="true">IF(ISBLANK(K54),IF(TODAY()&gt;I54,"OVERDUE - NOT COMPLETED","PENDING - NOT YET DUE"),IF(K54&gt;I54,"COMPLETED LATE","COMPLETED ON TIME"))</f>
        <v>COMPLETED ON TIME</v>
      </c>
    </row>
    <row r="55" customFormat="false" ht="15" hidden="false" customHeight="true" outlineLevel="0" collapsed="false">
      <c r="A55" s="9" t="s">
        <v>627</v>
      </c>
      <c r="B55" s="9" t="s">
        <v>98</v>
      </c>
      <c r="C55" s="9" t="s">
        <v>99</v>
      </c>
      <c r="D55" s="9" t="s">
        <v>240</v>
      </c>
      <c r="E55" s="9" t="s">
        <v>167</v>
      </c>
      <c r="F55" s="9" t="s">
        <v>168</v>
      </c>
      <c r="G55" s="9" t="s">
        <v>234</v>
      </c>
      <c r="H55" s="9" t="n">
        <v>365</v>
      </c>
      <c r="I55" s="10" t="n">
        <v>46086</v>
      </c>
      <c r="J55" s="9" t="s">
        <v>53</v>
      </c>
      <c r="K55" s="10" t="n">
        <v>46079</v>
      </c>
      <c r="L55" s="9" t="s">
        <v>572</v>
      </c>
      <c r="M55" s="9" t="str">
        <f aca="true">IF(ISBLANK(K55),IF(TODAY()&gt;I55,"OVERDUE - NOT COMPLETED","PENDING - NOT YET DUE"),IF(K55&gt;I55,"COMPLETED LATE","COMPLETED ON TIME"))</f>
        <v>COMPLETED ON TIME</v>
      </c>
    </row>
    <row r="56" customFormat="false" ht="15" hidden="false" customHeight="true" outlineLevel="0" collapsed="false">
      <c r="A56" s="9" t="s">
        <v>628</v>
      </c>
      <c r="B56" s="9" t="s">
        <v>100</v>
      </c>
      <c r="C56" s="9" t="s">
        <v>101</v>
      </c>
      <c r="D56" s="9" t="s">
        <v>219</v>
      </c>
      <c r="E56" s="9" t="s">
        <v>220</v>
      </c>
      <c r="F56" s="9" t="s">
        <v>221</v>
      </c>
      <c r="G56" s="9" t="s">
        <v>215</v>
      </c>
      <c r="H56" s="9" t="n">
        <v>365</v>
      </c>
      <c r="I56" s="10" t="n">
        <v>45998</v>
      </c>
      <c r="J56" s="9" t="s">
        <v>104</v>
      </c>
      <c r="K56" s="10" t="n">
        <v>46034</v>
      </c>
      <c r="L56" s="9" t="s">
        <v>572</v>
      </c>
      <c r="M56" s="9" t="str">
        <f aca="true">IF(ISBLANK(K56),IF(TODAY()&gt;I56,"OVERDUE - NOT COMPLETED","PENDING - NOT YET DUE"),IF(K56&gt;I56,"COMPLETED LATE","COMPLETED ON TIME"))</f>
        <v>COMPLETED LATE</v>
      </c>
    </row>
    <row r="57" customFormat="false" ht="15" hidden="false" customHeight="true" outlineLevel="0" collapsed="false">
      <c r="A57" s="9" t="s">
        <v>629</v>
      </c>
      <c r="B57" s="9" t="s">
        <v>100</v>
      </c>
      <c r="C57" s="9" t="s">
        <v>101</v>
      </c>
      <c r="D57" s="9" t="s">
        <v>212</v>
      </c>
      <c r="E57" s="9" t="s">
        <v>213</v>
      </c>
      <c r="F57" s="9" t="s">
        <v>214</v>
      </c>
      <c r="G57" s="9" t="s">
        <v>215</v>
      </c>
      <c r="H57" s="9" t="n">
        <v>365</v>
      </c>
      <c r="I57" s="10" t="n">
        <v>46464</v>
      </c>
      <c r="J57" s="9" t="s">
        <v>41</v>
      </c>
      <c r="K57" s="10" t="n">
        <v>46459</v>
      </c>
      <c r="L57" s="9" t="s">
        <v>612</v>
      </c>
      <c r="M57" s="9" t="str">
        <f aca="true">IF(ISBLANK(K57),IF(TODAY()&gt;I57,"OVERDUE - NOT COMPLETED","PENDING - NOT YET DUE"),IF(K57&gt;I57,"COMPLETED LATE","COMPLETED ON TIME"))</f>
        <v>COMPLETED ON TIME</v>
      </c>
    </row>
    <row r="58" customFormat="false" ht="15" hidden="false" customHeight="true" outlineLevel="0" collapsed="false">
      <c r="A58" s="9" t="s">
        <v>630</v>
      </c>
      <c r="B58" s="9" t="s">
        <v>105</v>
      </c>
      <c r="C58" s="9" t="s">
        <v>106</v>
      </c>
      <c r="D58" s="9" t="s">
        <v>219</v>
      </c>
      <c r="E58" s="9" t="s">
        <v>220</v>
      </c>
      <c r="F58" s="9" t="s">
        <v>221</v>
      </c>
      <c r="G58" s="9" t="s">
        <v>215</v>
      </c>
      <c r="H58" s="9" t="n">
        <v>365</v>
      </c>
      <c r="I58" s="10" t="n">
        <v>46263</v>
      </c>
      <c r="J58" s="9" t="s">
        <v>62</v>
      </c>
      <c r="K58" s="10"/>
      <c r="L58" s="9"/>
      <c r="M58" s="9" t="str">
        <f aca="true">IF(ISBLANK(K58),IF(TODAY()&gt;I58,"OVERDUE - NOT COMPLETED","PENDING - NOT YET DUE"),IF(K58&gt;I58,"COMPLETED LATE","COMPLETED ON TIME"))</f>
        <v>OVERDUE - NOT COMPLETED</v>
      </c>
    </row>
    <row r="59" customFormat="false" ht="15" hidden="false" customHeight="true" outlineLevel="0" collapsed="false">
      <c r="A59" s="9" t="s">
        <v>631</v>
      </c>
      <c r="B59" s="9" t="s">
        <v>105</v>
      </c>
      <c r="C59" s="9" t="s">
        <v>106</v>
      </c>
      <c r="D59" s="9" t="s">
        <v>240</v>
      </c>
      <c r="E59" s="9" t="s">
        <v>169</v>
      </c>
      <c r="F59" s="9" t="s">
        <v>170</v>
      </c>
      <c r="G59" s="9" t="s">
        <v>234</v>
      </c>
      <c r="H59" s="9" t="n">
        <v>365</v>
      </c>
      <c r="I59" s="10" t="n">
        <v>46189</v>
      </c>
      <c r="J59" s="9" t="s">
        <v>45</v>
      </c>
      <c r="K59" s="10" t="n">
        <v>46176</v>
      </c>
      <c r="L59" s="9" t="s">
        <v>612</v>
      </c>
      <c r="M59" s="9" t="str">
        <f aca="true">IF(ISBLANK(K59),IF(TODAY()&gt;I59,"OVERDUE - NOT COMPLETED","PENDING - NOT YET DUE"),IF(K59&gt;I59,"COMPLETED LATE","COMPLETED ON TIME"))</f>
        <v>COMPLETED ON TIME</v>
      </c>
    </row>
    <row r="60" customFormat="false" ht="15" hidden="false" customHeight="true" outlineLevel="0" collapsed="false">
      <c r="A60" s="9" t="s">
        <v>632</v>
      </c>
      <c r="B60" s="9" t="s">
        <v>107</v>
      </c>
      <c r="C60" s="9" t="s">
        <v>108</v>
      </c>
      <c r="D60" s="9" t="s">
        <v>219</v>
      </c>
      <c r="E60" s="9" t="s">
        <v>220</v>
      </c>
      <c r="F60" s="9" t="s">
        <v>221</v>
      </c>
      <c r="G60" s="9" t="s">
        <v>215</v>
      </c>
      <c r="H60" s="9" t="n">
        <v>365</v>
      </c>
      <c r="I60" s="10" t="n">
        <v>46214</v>
      </c>
      <c r="J60" s="9" t="s">
        <v>104</v>
      </c>
      <c r="K60" s="10" t="n">
        <v>46202</v>
      </c>
      <c r="L60" s="9" t="s">
        <v>572</v>
      </c>
      <c r="M60" s="9" t="str">
        <f aca="true">IF(ISBLANK(K60),IF(TODAY()&gt;I60,"OVERDUE - NOT COMPLETED","PENDING - NOT YET DUE"),IF(K60&gt;I60,"COMPLETED LATE","COMPLETED ON TIME"))</f>
        <v>COMPLETED ON TIME</v>
      </c>
    </row>
    <row r="61" customFormat="false" ht="15" hidden="false" customHeight="true" outlineLevel="0" collapsed="false">
      <c r="A61" s="9" t="s">
        <v>633</v>
      </c>
      <c r="B61" s="9" t="s">
        <v>109</v>
      </c>
      <c r="C61" s="9" t="s">
        <v>110</v>
      </c>
      <c r="D61" s="9" t="s">
        <v>219</v>
      </c>
      <c r="E61" s="9" t="s">
        <v>220</v>
      </c>
      <c r="F61" s="9" t="s">
        <v>221</v>
      </c>
      <c r="G61" s="9" t="s">
        <v>215</v>
      </c>
      <c r="H61" s="9" t="n">
        <v>365</v>
      </c>
      <c r="I61" s="10" t="n">
        <v>45979</v>
      </c>
      <c r="J61" s="9" t="s">
        <v>53</v>
      </c>
      <c r="K61" s="10" t="n">
        <v>45964</v>
      </c>
      <c r="L61" s="9" t="s">
        <v>572</v>
      </c>
      <c r="M61" s="9" t="str">
        <f aca="true">IF(ISBLANK(K61),IF(TODAY()&gt;I61,"OVERDUE - NOT COMPLETED","PENDING - NOT YET DUE"),IF(K61&gt;I61,"COMPLETED LATE","COMPLETED ON TIME"))</f>
        <v>COMPLETED ON TIME</v>
      </c>
    </row>
    <row r="62" customFormat="false" ht="15" hidden="false" customHeight="true" outlineLevel="0" collapsed="false">
      <c r="A62" s="9" t="s">
        <v>634</v>
      </c>
      <c r="B62" s="9" t="s">
        <v>109</v>
      </c>
      <c r="C62" s="9" t="s">
        <v>110</v>
      </c>
      <c r="D62" s="9" t="s">
        <v>212</v>
      </c>
      <c r="E62" s="9" t="s">
        <v>213</v>
      </c>
      <c r="F62" s="9" t="s">
        <v>214</v>
      </c>
      <c r="G62" s="9" t="s">
        <v>215</v>
      </c>
      <c r="H62" s="9" t="n">
        <v>365</v>
      </c>
      <c r="I62" s="10" t="n">
        <v>46065</v>
      </c>
      <c r="J62" s="9" t="s">
        <v>57</v>
      </c>
      <c r="K62" s="10" t="n">
        <v>46055</v>
      </c>
      <c r="L62" s="9" t="s">
        <v>572</v>
      </c>
      <c r="M62" s="9" t="str">
        <f aca="true">IF(ISBLANK(K62),IF(TODAY()&gt;I62,"OVERDUE - NOT COMPLETED","PENDING - NOT YET DUE"),IF(K62&gt;I62,"COMPLETED LATE","COMPLETED ON TIME"))</f>
        <v>COMPLETED ON TIME</v>
      </c>
    </row>
    <row r="63" customFormat="false" ht="15" hidden="false" customHeight="true" outlineLevel="0" collapsed="false">
      <c r="A63" s="9" t="s">
        <v>635</v>
      </c>
      <c r="B63" s="9" t="s">
        <v>109</v>
      </c>
      <c r="C63" s="9" t="s">
        <v>110</v>
      </c>
      <c r="D63" s="9" t="s">
        <v>269</v>
      </c>
      <c r="E63" s="9" t="s">
        <v>197</v>
      </c>
      <c r="F63" s="9" t="s">
        <v>198</v>
      </c>
      <c r="G63" s="9" t="s">
        <v>226</v>
      </c>
      <c r="H63" s="9" t="n">
        <v>90</v>
      </c>
      <c r="I63" s="10" t="n">
        <v>46324</v>
      </c>
      <c r="J63" s="9" t="s">
        <v>50</v>
      </c>
      <c r="K63" s="10"/>
      <c r="L63" s="9"/>
      <c r="M63" s="9" t="str">
        <f aca="true">IF(ISBLANK(K63),IF(TODAY()&gt;I63,"OVERDUE - NOT COMPLETED","PENDING - NOT YET DUE"),IF(K63&gt;I63,"COMPLETED LATE","COMPLETED ON TIME"))</f>
        <v>PENDING - NOT YET DUE</v>
      </c>
    </row>
    <row r="64" customFormat="false" ht="15" hidden="false" customHeight="true" outlineLevel="0" collapsed="false">
      <c r="A64" s="9" t="s">
        <v>636</v>
      </c>
      <c r="B64" s="9" t="s">
        <v>111</v>
      </c>
      <c r="C64" s="9" t="s">
        <v>112</v>
      </c>
      <c r="D64" s="9" t="s">
        <v>212</v>
      </c>
      <c r="E64" s="9" t="s">
        <v>213</v>
      </c>
      <c r="F64" s="9" t="s">
        <v>214</v>
      </c>
      <c r="G64" s="9" t="s">
        <v>215</v>
      </c>
      <c r="H64" s="9" t="n">
        <v>365</v>
      </c>
      <c r="I64" s="10" t="n">
        <v>46191</v>
      </c>
      <c r="J64" s="9" t="s">
        <v>135</v>
      </c>
      <c r="K64" s="10" t="n">
        <v>46198</v>
      </c>
      <c r="L64" s="9" t="s">
        <v>572</v>
      </c>
      <c r="M64" s="9" t="str">
        <f aca="true">IF(ISBLANK(K64),IF(TODAY()&gt;I64,"OVERDUE - NOT COMPLETED","PENDING - NOT YET DUE"),IF(K64&gt;I64,"COMPLETED LATE","COMPLETED ON TIME"))</f>
        <v>COMPLETED LATE</v>
      </c>
    </row>
    <row r="65" customFormat="false" ht="15" hidden="false" customHeight="true" outlineLevel="0" collapsed="false">
      <c r="A65" s="9" t="s">
        <v>637</v>
      </c>
      <c r="B65" s="9" t="s">
        <v>113</v>
      </c>
      <c r="C65" s="9" t="s">
        <v>114</v>
      </c>
      <c r="D65" s="9" t="s">
        <v>240</v>
      </c>
      <c r="E65" s="9" t="s">
        <v>173</v>
      </c>
      <c r="F65" s="9" t="s">
        <v>174</v>
      </c>
      <c r="G65" s="9" t="s">
        <v>234</v>
      </c>
      <c r="H65" s="9" t="n">
        <v>365</v>
      </c>
      <c r="I65" s="10" t="n">
        <v>46346</v>
      </c>
      <c r="J65" s="9" t="s">
        <v>45</v>
      </c>
      <c r="K65" s="10" t="n">
        <v>46341</v>
      </c>
      <c r="L65" s="9" t="s">
        <v>572</v>
      </c>
      <c r="M65" s="9" t="str">
        <f aca="true">IF(ISBLANK(K65),IF(TODAY()&gt;I65,"OVERDUE - NOT COMPLETED","PENDING - NOT YET DUE"),IF(K65&gt;I65,"COMPLETED LATE","COMPLETED ON TIME"))</f>
        <v>COMPLETED ON TIME</v>
      </c>
    </row>
    <row r="66" customFormat="false" ht="15" hidden="false" customHeight="true" outlineLevel="0" collapsed="false">
      <c r="A66" s="9" t="s">
        <v>638</v>
      </c>
      <c r="B66" s="9" t="s">
        <v>113</v>
      </c>
      <c r="C66" s="9" t="s">
        <v>114</v>
      </c>
      <c r="D66" s="9" t="s">
        <v>212</v>
      </c>
      <c r="E66" s="9" t="s">
        <v>213</v>
      </c>
      <c r="F66" s="9" t="s">
        <v>214</v>
      </c>
      <c r="G66" s="9" t="s">
        <v>215</v>
      </c>
      <c r="H66" s="9" t="n">
        <v>365</v>
      </c>
      <c r="I66" s="10" t="n">
        <v>46081</v>
      </c>
      <c r="J66" s="9" t="s">
        <v>135</v>
      </c>
      <c r="K66" s="10" t="n">
        <v>46067</v>
      </c>
      <c r="L66" s="9" t="s">
        <v>572</v>
      </c>
      <c r="M66" s="9" t="str">
        <f aca="true">IF(ISBLANK(K66),IF(TODAY()&gt;I66,"OVERDUE - NOT COMPLETED","PENDING - NOT YET DUE"),IF(K66&gt;I66,"COMPLETED LATE","COMPLETED ON TIME"))</f>
        <v>COMPLETED ON TIME</v>
      </c>
    </row>
    <row r="67" customFormat="false" ht="15" hidden="false" customHeight="true" outlineLevel="0" collapsed="false">
      <c r="A67" s="9" t="s">
        <v>639</v>
      </c>
      <c r="B67" s="9" t="s">
        <v>117</v>
      </c>
      <c r="C67" s="9" t="s">
        <v>118</v>
      </c>
      <c r="D67" s="9" t="s">
        <v>240</v>
      </c>
      <c r="E67" s="9" t="s">
        <v>173</v>
      </c>
      <c r="F67" s="9" t="s">
        <v>174</v>
      </c>
      <c r="G67" s="9" t="s">
        <v>234</v>
      </c>
      <c r="H67" s="9" t="n">
        <v>365</v>
      </c>
      <c r="I67" s="10" t="n">
        <v>46320</v>
      </c>
      <c r="J67" s="9" t="s">
        <v>50</v>
      </c>
      <c r="K67" s="10" t="n">
        <v>46313</v>
      </c>
      <c r="L67" s="9" t="s">
        <v>572</v>
      </c>
      <c r="M67" s="9" t="str">
        <f aca="true">IF(ISBLANK(K67),IF(TODAY()&gt;I67,"OVERDUE - NOT COMPLETED","PENDING - NOT YET DUE"),IF(K67&gt;I67,"COMPLETED LATE","COMPLETED ON TIME"))</f>
        <v>COMPLETED ON TIME</v>
      </c>
    </row>
    <row r="68" customFormat="false" ht="15" hidden="false" customHeight="true" outlineLevel="0" collapsed="false">
      <c r="A68" s="9" t="s">
        <v>640</v>
      </c>
      <c r="B68" s="9" t="s">
        <v>117</v>
      </c>
      <c r="C68" s="9" t="s">
        <v>118</v>
      </c>
      <c r="D68" s="9" t="s">
        <v>240</v>
      </c>
      <c r="E68" s="9" t="s">
        <v>167</v>
      </c>
      <c r="F68" s="9" t="s">
        <v>168</v>
      </c>
      <c r="G68" s="9" t="s">
        <v>234</v>
      </c>
      <c r="H68" s="9" t="n">
        <v>365</v>
      </c>
      <c r="I68" s="10" t="n">
        <v>45969</v>
      </c>
      <c r="J68" s="9" t="s">
        <v>104</v>
      </c>
      <c r="K68" s="10" t="n">
        <v>45949</v>
      </c>
      <c r="L68" s="9" t="s">
        <v>572</v>
      </c>
      <c r="M68" s="9" t="str">
        <f aca="true">IF(ISBLANK(K68),IF(TODAY()&gt;I68,"OVERDUE - NOT COMPLETED","PENDING - NOT YET DUE"),IF(K68&gt;I68,"COMPLETED LATE","COMPLETED ON TIME"))</f>
        <v>COMPLETED ON TIME</v>
      </c>
    </row>
    <row r="69" customFormat="false" ht="15" hidden="false" customHeight="true" outlineLevel="0" collapsed="false">
      <c r="A69" s="9" t="s">
        <v>641</v>
      </c>
      <c r="B69" s="9" t="s">
        <v>119</v>
      </c>
      <c r="C69" s="9" t="s">
        <v>120</v>
      </c>
      <c r="D69" s="9" t="s">
        <v>212</v>
      </c>
      <c r="E69" s="9" t="s">
        <v>213</v>
      </c>
      <c r="F69" s="9" t="s">
        <v>214</v>
      </c>
      <c r="G69" s="9" t="s">
        <v>215</v>
      </c>
      <c r="H69" s="9" t="n">
        <v>365</v>
      </c>
      <c r="I69" s="10" t="n">
        <v>46028</v>
      </c>
      <c r="J69" s="9" t="s">
        <v>84</v>
      </c>
      <c r="K69" s="10"/>
      <c r="L69" s="9"/>
      <c r="M69" s="9" t="str">
        <f aca="true">IF(ISBLANK(K69),IF(TODAY()&gt;I69,"OVERDUE - NOT COMPLETED","PENDING - NOT YET DUE"),IF(K69&gt;I69,"COMPLETED LATE","COMPLETED ON TIME"))</f>
        <v>OVERDUE - NOT COMPLETED</v>
      </c>
    </row>
    <row r="70" customFormat="false" ht="15" hidden="false" customHeight="true" outlineLevel="0" collapsed="false">
      <c r="A70" s="9" t="s">
        <v>642</v>
      </c>
      <c r="B70" s="9" t="s">
        <v>119</v>
      </c>
      <c r="C70" s="9" t="s">
        <v>120</v>
      </c>
      <c r="D70" s="9" t="s">
        <v>219</v>
      </c>
      <c r="E70" s="9" t="s">
        <v>220</v>
      </c>
      <c r="F70" s="9" t="s">
        <v>221</v>
      </c>
      <c r="G70" s="9" t="s">
        <v>215</v>
      </c>
      <c r="H70" s="9" t="n">
        <v>365</v>
      </c>
      <c r="I70" s="10" t="n">
        <v>46330</v>
      </c>
      <c r="J70" s="9" t="s">
        <v>57</v>
      </c>
      <c r="K70" s="10"/>
      <c r="L70" s="9"/>
      <c r="M70" s="9" t="str">
        <f aca="true">IF(ISBLANK(K70),IF(TODAY()&gt;I70,"OVERDUE - NOT COMPLETED","PENDING - NOT YET DUE"),IF(K70&gt;I70,"COMPLETED LATE","COMPLETED ON TIME"))</f>
        <v>PENDING - NOT YET DUE</v>
      </c>
    </row>
    <row r="71" customFormat="false" ht="15" hidden="false" customHeight="true" outlineLevel="0" collapsed="false">
      <c r="A71" s="9" t="s">
        <v>643</v>
      </c>
      <c r="B71" s="9" t="s">
        <v>119</v>
      </c>
      <c r="C71" s="9" t="s">
        <v>120</v>
      </c>
      <c r="D71" s="9" t="s">
        <v>264</v>
      </c>
      <c r="E71" s="9" t="s">
        <v>189</v>
      </c>
      <c r="F71" s="9" t="s">
        <v>190</v>
      </c>
      <c r="G71" s="9" t="s">
        <v>234</v>
      </c>
      <c r="H71" s="9" t="n">
        <v>365</v>
      </c>
      <c r="I71" s="10" t="n">
        <v>46117</v>
      </c>
      <c r="J71" s="9" t="s">
        <v>57</v>
      </c>
      <c r="K71" s="10" t="n">
        <v>46115</v>
      </c>
      <c r="L71" s="9" t="s">
        <v>572</v>
      </c>
      <c r="M71" s="9" t="str">
        <f aca="true">IF(ISBLANK(K71),IF(TODAY()&gt;I71,"OVERDUE - NOT COMPLETED","PENDING - NOT YET DUE"),IF(K71&gt;I71,"COMPLETED LATE","COMPLETED ON TIME"))</f>
        <v>COMPLETED ON TIME</v>
      </c>
    </row>
    <row r="72" customFormat="false" ht="15" hidden="false" customHeight="true" outlineLevel="0" collapsed="false">
      <c r="A72" s="9" t="s">
        <v>644</v>
      </c>
      <c r="B72" s="9" t="s">
        <v>119</v>
      </c>
      <c r="C72" s="9" t="s">
        <v>120</v>
      </c>
      <c r="D72" s="9" t="s">
        <v>219</v>
      </c>
      <c r="E72" s="9" t="s">
        <v>183</v>
      </c>
      <c r="F72" s="9" t="s">
        <v>184</v>
      </c>
      <c r="G72" s="9" t="s">
        <v>234</v>
      </c>
      <c r="H72" s="9" t="n">
        <v>365</v>
      </c>
      <c r="I72" s="10" t="n">
        <v>46204</v>
      </c>
      <c r="J72" s="9" t="s">
        <v>62</v>
      </c>
      <c r="K72" s="10" t="n">
        <v>46201</v>
      </c>
      <c r="L72" s="9" t="s">
        <v>572</v>
      </c>
      <c r="M72" s="9" t="str">
        <f aca="true">IF(ISBLANK(K72),IF(TODAY()&gt;I72,"OVERDUE - NOT COMPLETED","PENDING - NOT YET DUE"),IF(K72&gt;I72,"COMPLETED LATE","COMPLETED ON TIME"))</f>
        <v>COMPLETED ON TIME</v>
      </c>
    </row>
    <row r="73" customFormat="false" ht="15" hidden="false" customHeight="true" outlineLevel="0" collapsed="false">
      <c r="A73" s="9" t="s">
        <v>645</v>
      </c>
      <c r="B73" s="9" t="s">
        <v>121</v>
      </c>
      <c r="C73" s="9" t="s">
        <v>122</v>
      </c>
      <c r="D73" s="9" t="s">
        <v>219</v>
      </c>
      <c r="E73" s="9" t="s">
        <v>183</v>
      </c>
      <c r="F73" s="9" t="s">
        <v>184</v>
      </c>
      <c r="G73" s="9" t="s">
        <v>234</v>
      </c>
      <c r="H73" s="9" t="n">
        <v>365</v>
      </c>
      <c r="I73" s="10" t="n">
        <v>46292</v>
      </c>
      <c r="J73" s="9" t="s">
        <v>53</v>
      </c>
      <c r="K73" s="10"/>
      <c r="L73" s="9"/>
      <c r="M73" s="9" t="str">
        <f aca="true">IF(ISBLANK(K73),IF(TODAY()&gt;I73,"OVERDUE - NOT COMPLETED","PENDING - NOT YET DUE"),IF(K73&gt;I73,"COMPLETED LATE","COMPLETED ON TIME"))</f>
        <v>PENDING - NOT YET DUE</v>
      </c>
    </row>
    <row r="74" customFormat="false" ht="15" hidden="false" customHeight="true" outlineLevel="0" collapsed="false">
      <c r="A74" s="9" t="s">
        <v>646</v>
      </c>
      <c r="B74" s="9" t="s">
        <v>121</v>
      </c>
      <c r="C74" s="9" t="s">
        <v>122</v>
      </c>
      <c r="D74" s="9" t="s">
        <v>219</v>
      </c>
      <c r="E74" s="9" t="s">
        <v>220</v>
      </c>
      <c r="F74" s="9" t="s">
        <v>221</v>
      </c>
      <c r="G74" s="9" t="s">
        <v>215</v>
      </c>
      <c r="H74" s="9" t="n">
        <v>365</v>
      </c>
      <c r="I74" s="10" t="n">
        <v>45964</v>
      </c>
      <c r="J74" s="9" t="s">
        <v>69</v>
      </c>
      <c r="K74" s="10"/>
      <c r="L74" s="9"/>
      <c r="M74" s="9" t="str">
        <f aca="true">IF(ISBLANK(K74),IF(TODAY()&gt;I74,"OVERDUE - NOT COMPLETED","PENDING - NOT YET DUE"),IF(K74&gt;I74,"COMPLETED LATE","COMPLETED ON TIME"))</f>
        <v>OVERDUE - NOT COMPLETED</v>
      </c>
    </row>
    <row r="75" customFormat="false" ht="15" hidden="false" customHeight="true" outlineLevel="0" collapsed="false">
      <c r="A75" s="9" t="s">
        <v>647</v>
      </c>
      <c r="B75" s="9" t="s">
        <v>121</v>
      </c>
      <c r="C75" s="9" t="s">
        <v>122</v>
      </c>
      <c r="D75" s="9" t="s">
        <v>212</v>
      </c>
      <c r="E75" s="9" t="s">
        <v>213</v>
      </c>
      <c r="F75" s="9" t="s">
        <v>214</v>
      </c>
      <c r="G75" s="9" t="s">
        <v>215</v>
      </c>
      <c r="H75" s="9" t="n">
        <v>365</v>
      </c>
      <c r="I75" s="10" t="n">
        <v>46449</v>
      </c>
      <c r="J75" s="9" t="s">
        <v>135</v>
      </c>
      <c r="K75" s="10"/>
      <c r="L75" s="9"/>
      <c r="M75" s="9" t="str">
        <f aca="true">IF(ISBLANK(K75),IF(TODAY()&gt;I75,"OVERDUE - NOT COMPLETED","PENDING - NOT YET DUE"),IF(K75&gt;I75,"COMPLETED LATE","COMPLETED ON TIME"))</f>
        <v>PENDING - NOT YET DUE</v>
      </c>
    </row>
    <row r="76" customFormat="false" ht="15" hidden="false" customHeight="true" outlineLevel="0" collapsed="false">
      <c r="A76" s="9" t="s">
        <v>648</v>
      </c>
      <c r="B76" s="9" t="s">
        <v>123</v>
      </c>
      <c r="C76" s="9" t="s">
        <v>124</v>
      </c>
      <c r="D76" s="9" t="s">
        <v>219</v>
      </c>
      <c r="E76" s="9" t="s">
        <v>183</v>
      </c>
      <c r="F76" s="9" t="s">
        <v>184</v>
      </c>
      <c r="G76" s="9" t="s">
        <v>234</v>
      </c>
      <c r="H76" s="9" t="n">
        <v>365</v>
      </c>
      <c r="I76" s="10" t="n">
        <v>46244</v>
      </c>
      <c r="J76" s="9" t="s">
        <v>53</v>
      </c>
      <c r="K76" s="10" t="n">
        <v>46225</v>
      </c>
      <c r="L76" s="9" t="s">
        <v>572</v>
      </c>
      <c r="M76" s="9" t="str">
        <f aca="true">IF(ISBLANK(K76),IF(TODAY()&gt;I76,"OVERDUE - NOT COMPLETED","PENDING - NOT YET DUE"),IF(K76&gt;I76,"COMPLETED LATE","COMPLETED ON TIME"))</f>
        <v>COMPLETED ON TIME</v>
      </c>
    </row>
    <row r="77" customFormat="false" ht="15" hidden="false" customHeight="true" outlineLevel="0" collapsed="false">
      <c r="A77" s="9" t="s">
        <v>649</v>
      </c>
      <c r="B77" s="9" t="s">
        <v>125</v>
      </c>
      <c r="C77" s="9" t="s">
        <v>126</v>
      </c>
      <c r="D77" s="9" t="s">
        <v>240</v>
      </c>
      <c r="E77" s="9" t="s">
        <v>173</v>
      </c>
      <c r="F77" s="9" t="s">
        <v>174</v>
      </c>
      <c r="G77" s="9" t="s">
        <v>234</v>
      </c>
      <c r="H77" s="9" t="n">
        <v>365</v>
      </c>
      <c r="I77" s="10" t="n">
        <v>46439</v>
      </c>
      <c r="J77" s="9" t="s">
        <v>50</v>
      </c>
      <c r="K77" s="10" t="n">
        <v>46421</v>
      </c>
      <c r="L77" s="9" t="s">
        <v>572</v>
      </c>
      <c r="M77" s="9" t="str">
        <f aca="true">IF(ISBLANK(K77),IF(TODAY()&gt;I77,"OVERDUE - NOT COMPLETED","PENDING - NOT YET DUE"),IF(K77&gt;I77,"COMPLETED LATE","COMPLETED ON TIME"))</f>
        <v>COMPLETED ON TIME</v>
      </c>
    </row>
    <row r="78" customFormat="false" ht="15" hidden="false" customHeight="true" outlineLevel="0" collapsed="false">
      <c r="A78" s="9" t="s">
        <v>650</v>
      </c>
      <c r="B78" s="9" t="s">
        <v>125</v>
      </c>
      <c r="C78" s="9" t="s">
        <v>126</v>
      </c>
      <c r="D78" s="9" t="s">
        <v>212</v>
      </c>
      <c r="E78" s="9" t="s">
        <v>213</v>
      </c>
      <c r="F78" s="9" t="s">
        <v>214</v>
      </c>
      <c r="G78" s="9" t="s">
        <v>215</v>
      </c>
      <c r="H78" s="9" t="n">
        <v>365</v>
      </c>
      <c r="I78" s="10" t="n">
        <v>46295</v>
      </c>
      <c r="J78" s="9" t="s">
        <v>57</v>
      </c>
      <c r="K78" s="10" t="n">
        <v>46282</v>
      </c>
      <c r="L78" s="9" t="s">
        <v>612</v>
      </c>
      <c r="M78" s="9" t="str">
        <f aca="true">IF(ISBLANK(K78),IF(TODAY()&gt;I78,"OVERDUE - NOT COMPLETED","PENDING - NOT YET DUE"),IF(K78&gt;I78,"COMPLETED LATE","COMPLETED ON TIME"))</f>
        <v>COMPLETED ON TIME</v>
      </c>
    </row>
    <row r="79" customFormat="false" ht="15" hidden="false" customHeight="true" outlineLevel="0" collapsed="false">
      <c r="A79" s="9" t="s">
        <v>651</v>
      </c>
      <c r="B79" s="9" t="s">
        <v>127</v>
      </c>
      <c r="C79" s="9" t="s">
        <v>128</v>
      </c>
      <c r="D79" s="9" t="s">
        <v>240</v>
      </c>
      <c r="E79" s="9" t="s">
        <v>173</v>
      </c>
      <c r="F79" s="9" t="s">
        <v>174</v>
      </c>
      <c r="G79" s="9" t="s">
        <v>234</v>
      </c>
      <c r="H79" s="9" t="n">
        <v>365</v>
      </c>
      <c r="I79" s="10" t="n">
        <v>45945</v>
      </c>
      <c r="J79" s="9" t="s">
        <v>62</v>
      </c>
      <c r="K79" s="10" t="n">
        <v>46187</v>
      </c>
      <c r="L79" s="9" t="s">
        <v>612</v>
      </c>
      <c r="M79" s="9" t="str">
        <f aca="true">IF(ISBLANK(K79),IF(TODAY()&gt;I79,"OVERDUE - NOT COMPLETED","PENDING - NOT YET DUE"),IF(K79&gt;I79,"COMPLETED LATE","COMPLETED ON TIME"))</f>
        <v>COMPLETED LATE</v>
      </c>
    </row>
    <row r="80" customFormat="false" ht="15" hidden="false" customHeight="true" outlineLevel="0" collapsed="false">
      <c r="A80" s="9" t="s">
        <v>652</v>
      </c>
      <c r="B80" s="9" t="s">
        <v>127</v>
      </c>
      <c r="C80" s="9" t="s">
        <v>128</v>
      </c>
      <c r="D80" s="9" t="s">
        <v>240</v>
      </c>
      <c r="E80" s="9" t="s">
        <v>167</v>
      </c>
      <c r="F80" s="9" t="s">
        <v>168</v>
      </c>
      <c r="G80" s="9" t="s">
        <v>234</v>
      </c>
      <c r="H80" s="9" t="n">
        <v>365</v>
      </c>
      <c r="I80" s="10" t="n">
        <v>46409</v>
      </c>
      <c r="J80" s="9" t="s">
        <v>53</v>
      </c>
      <c r="K80" s="10" t="n">
        <v>46390</v>
      </c>
      <c r="L80" s="9" t="s">
        <v>572</v>
      </c>
      <c r="M80" s="9" t="str">
        <f aca="true">IF(ISBLANK(K80),IF(TODAY()&gt;I80,"OVERDUE - NOT COMPLETED","PENDING - NOT YET DUE"),IF(K80&gt;I80,"COMPLETED LATE","COMPLETED ON TIME"))</f>
        <v>COMPLETED ON TIME</v>
      </c>
    </row>
    <row r="81" customFormat="false" ht="15" hidden="false" customHeight="true" outlineLevel="0" collapsed="false">
      <c r="A81" s="9" t="s">
        <v>653</v>
      </c>
      <c r="B81" s="9" t="s">
        <v>127</v>
      </c>
      <c r="C81" s="9" t="s">
        <v>128</v>
      </c>
      <c r="D81" s="9" t="s">
        <v>240</v>
      </c>
      <c r="E81" s="9" t="s">
        <v>169</v>
      </c>
      <c r="F81" s="9" t="s">
        <v>170</v>
      </c>
      <c r="G81" s="9" t="s">
        <v>234</v>
      </c>
      <c r="H81" s="9" t="n">
        <v>365</v>
      </c>
      <c r="I81" s="10" t="n">
        <v>46166</v>
      </c>
      <c r="J81" s="9" t="s">
        <v>69</v>
      </c>
      <c r="K81" s="10" t="n">
        <v>46163</v>
      </c>
      <c r="L81" s="9" t="s">
        <v>572</v>
      </c>
      <c r="M81" s="9" t="str">
        <f aca="true">IF(ISBLANK(K81),IF(TODAY()&gt;I81,"OVERDUE - NOT COMPLETED","PENDING - NOT YET DUE"),IF(K81&gt;I81,"COMPLETED LATE","COMPLETED ON TIME"))</f>
        <v>COMPLETED ON TIME</v>
      </c>
    </row>
    <row r="82" customFormat="false" ht="15" hidden="false" customHeight="true" outlineLevel="0" collapsed="false">
      <c r="A82" s="9" t="s">
        <v>654</v>
      </c>
      <c r="B82" s="9" t="s">
        <v>129</v>
      </c>
      <c r="C82" s="9" t="s">
        <v>130</v>
      </c>
      <c r="D82" s="9" t="s">
        <v>240</v>
      </c>
      <c r="E82" s="9" t="s">
        <v>173</v>
      </c>
      <c r="F82" s="9" t="s">
        <v>174</v>
      </c>
      <c r="G82" s="9" t="s">
        <v>234</v>
      </c>
      <c r="H82" s="9" t="n">
        <v>365</v>
      </c>
      <c r="I82" s="10" t="n">
        <v>46346</v>
      </c>
      <c r="J82" s="9" t="s">
        <v>53</v>
      </c>
      <c r="K82" s="10" t="n">
        <v>46340</v>
      </c>
      <c r="L82" s="9" t="s">
        <v>572</v>
      </c>
      <c r="M82" s="9" t="str">
        <f aca="true">IF(ISBLANK(K82),IF(TODAY()&gt;I82,"OVERDUE - NOT COMPLETED","PENDING - NOT YET DUE"),IF(K82&gt;I82,"COMPLETED LATE","COMPLETED ON TIME"))</f>
        <v>COMPLETED ON TIME</v>
      </c>
    </row>
    <row r="83" customFormat="false" ht="15" hidden="false" customHeight="true" outlineLevel="0" collapsed="false">
      <c r="A83" s="9" t="s">
        <v>655</v>
      </c>
      <c r="B83" s="9" t="s">
        <v>129</v>
      </c>
      <c r="C83" s="9" t="s">
        <v>130</v>
      </c>
      <c r="D83" s="9" t="s">
        <v>219</v>
      </c>
      <c r="E83" s="9" t="s">
        <v>220</v>
      </c>
      <c r="F83" s="9" t="s">
        <v>221</v>
      </c>
      <c r="G83" s="9" t="s">
        <v>215</v>
      </c>
      <c r="H83" s="9" t="n">
        <v>365</v>
      </c>
      <c r="I83" s="10" t="n">
        <v>46400</v>
      </c>
      <c r="J83" s="9" t="s">
        <v>69</v>
      </c>
      <c r="K83" s="10" t="n">
        <v>46384</v>
      </c>
      <c r="L83" s="9" t="s">
        <v>572</v>
      </c>
      <c r="M83" s="9" t="str">
        <f aca="true">IF(ISBLANK(K83),IF(TODAY()&gt;I83,"OVERDUE - NOT COMPLETED","PENDING - NOT YET DUE"),IF(K83&gt;I83,"COMPLETED LATE","COMPLETED ON TIME"))</f>
        <v>COMPLETED ON TIME</v>
      </c>
    </row>
    <row r="84" customFormat="false" ht="15" hidden="false" customHeight="true" outlineLevel="0" collapsed="false">
      <c r="A84" s="9" t="s">
        <v>656</v>
      </c>
      <c r="B84" s="9" t="s">
        <v>129</v>
      </c>
      <c r="C84" s="9" t="s">
        <v>130</v>
      </c>
      <c r="D84" s="9" t="s">
        <v>240</v>
      </c>
      <c r="E84" s="9" t="s">
        <v>167</v>
      </c>
      <c r="F84" s="9" t="s">
        <v>168</v>
      </c>
      <c r="G84" s="9" t="s">
        <v>234</v>
      </c>
      <c r="H84" s="9" t="n">
        <v>365</v>
      </c>
      <c r="I84" s="10" t="n">
        <v>46407</v>
      </c>
      <c r="J84" s="9" t="s">
        <v>50</v>
      </c>
      <c r="K84" s="10" t="n">
        <v>46402</v>
      </c>
      <c r="L84" s="9" t="s">
        <v>572</v>
      </c>
      <c r="M84" s="9" t="str">
        <f aca="true">IF(ISBLANK(K84),IF(TODAY()&gt;I84,"OVERDUE - NOT COMPLETED","PENDING - NOT YET DUE"),IF(K84&gt;I84,"COMPLETED LATE","COMPLETED ON TIME"))</f>
        <v>COMPLETED ON TIME</v>
      </c>
    </row>
    <row r="85" customFormat="false" ht="15" hidden="false" customHeight="true" outlineLevel="0" collapsed="false">
      <c r="A85" s="9" t="s">
        <v>657</v>
      </c>
      <c r="B85" s="9" t="s">
        <v>131</v>
      </c>
      <c r="C85" s="9" t="s">
        <v>132</v>
      </c>
      <c r="D85" s="9" t="s">
        <v>219</v>
      </c>
      <c r="E85" s="9" t="s">
        <v>220</v>
      </c>
      <c r="F85" s="9" t="s">
        <v>221</v>
      </c>
      <c r="G85" s="9" t="s">
        <v>215</v>
      </c>
      <c r="H85" s="9" t="n">
        <v>365</v>
      </c>
      <c r="I85" s="10" t="n">
        <v>46188</v>
      </c>
      <c r="J85" s="9" t="s">
        <v>62</v>
      </c>
      <c r="K85" s="10" t="n">
        <v>46181</v>
      </c>
      <c r="L85" s="9" t="s">
        <v>572</v>
      </c>
      <c r="M85" s="9" t="str">
        <f aca="true">IF(ISBLANK(K85),IF(TODAY()&gt;I85,"OVERDUE - NOT COMPLETED","PENDING - NOT YET DUE"),IF(K85&gt;I85,"COMPLETED LATE","COMPLETED ON TIME"))</f>
        <v>COMPLETED ON TIME</v>
      </c>
    </row>
    <row r="86" customFormat="false" ht="15" hidden="false" customHeight="true" outlineLevel="0" collapsed="false">
      <c r="A86" s="9" t="s">
        <v>658</v>
      </c>
      <c r="B86" s="9" t="s">
        <v>131</v>
      </c>
      <c r="C86" s="9" t="s">
        <v>132</v>
      </c>
      <c r="D86" s="9" t="s">
        <v>212</v>
      </c>
      <c r="E86" s="9" t="s">
        <v>213</v>
      </c>
      <c r="F86" s="9" t="s">
        <v>214</v>
      </c>
      <c r="G86" s="9" t="s">
        <v>215</v>
      </c>
      <c r="H86" s="9" t="n">
        <v>365</v>
      </c>
      <c r="I86" s="10" t="n">
        <v>46222</v>
      </c>
      <c r="J86" s="9" t="s">
        <v>104</v>
      </c>
      <c r="K86" s="10" t="n">
        <v>46207</v>
      </c>
      <c r="L86" s="9" t="s">
        <v>572</v>
      </c>
      <c r="M86" s="9" t="str">
        <f aca="true">IF(ISBLANK(K86),IF(TODAY()&gt;I86,"OVERDUE - NOT COMPLETED","PENDING - NOT YET DUE"),IF(K86&gt;I86,"COMPLETED LATE","COMPLETED ON TIME"))</f>
        <v>COMPLETED ON TIME</v>
      </c>
    </row>
    <row r="87" customFormat="false" ht="15" hidden="false" customHeight="true" outlineLevel="0" collapsed="false">
      <c r="A87" s="9" t="s">
        <v>659</v>
      </c>
      <c r="B87" s="9" t="s">
        <v>133</v>
      </c>
      <c r="C87" s="9" t="s">
        <v>134</v>
      </c>
      <c r="D87" s="9" t="s">
        <v>219</v>
      </c>
      <c r="E87" s="9" t="s">
        <v>185</v>
      </c>
      <c r="F87" s="9" t="s">
        <v>186</v>
      </c>
      <c r="G87" s="9" t="s">
        <v>226</v>
      </c>
      <c r="H87" s="9" t="n">
        <v>90</v>
      </c>
      <c r="I87" s="10" t="n">
        <v>46263</v>
      </c>
      <c r="J87" s="9" t="s">
        <v>104</v>
      </c>
      <c r="K87" s="10"/>
      <c r="L87" s="9"/>
      <c r="M87" s="9" t="str">
        <f aca="true">IF(ISBLANK(K87),IF(TODAY()&gt;I87,"OVERDUE - NOT COMPLETED","PENDING - NOT YET DUE"),IF(K87&gt;I87,"COMPLETED LATE","COMPLETED ON TIME"))</f>
        <v>OVERDUE - NOT COMPLETED</v>
      </c>
    </row>
    <row r="88" customFormat="false" ht="15" hidden="false" customHeight="true" outlineLevel="0" collapsed="false">
      <c r="A88" s="9" t="s">
        <v>660</v>
      </c>
      <c r="B88" s="9" t="s">
        <v>133</v>
      </c>
      <c r="C88" s="9" t="s">
        <v>134</v>
      </c>
      <c r="D88" s="9" t="s">
        <v>219</v>
      </c>
      <c r="E88" s="9" t="s">
        <v>183</v>
      </c>
      <c r="F88" s="9" t="s">
        <v>184</v>
      </c>
      <c r="G88" s="9" t="s">
        <v>234</v>
      </c>
      <c r="H88" s="9" t="n">
        <v>365</v>
      </c>
      <c r="I88" s="10" t="n">
        <v>46322</v>
      </c>
      <c r="J88" s="9" t="s">
        <v>57</v>
      </c>
      <c r="K88" s="10" t="n">
        <v>46318</v>
      </c>
      <c r="L88" s="9" t="s">
        <v>572</v>
      </c>
      <c r="M88" s="9" t="str">
        <f aca="true">IF(ISBLANK(K88),IF(TODAY()&gt;I88,"OVERDUE - NOT COMPLETED","PENDING - NOT YET DUE"),IF(K88&gt;I88,"COMPLETED LATE","COMPLETED ON TIME"))</f>
        <v>COMPLETED ON TIME</v>
      </c>
    </row>
    <row r="89" customFormat="false" ht="15" hidden="false" customHeight="true" outlineLevel="0" collapsed="false">
      <c r="A89" s="9" t="s">
        <v>661</v>
      </c>
      <c r="B89" s="9" t="s">
        <v>133</v>
      </c>
      <c r="C89" s="9" t="s">
        <v>134</v>
      </c>
      <c r="D89" s="9" t="s">
        <v>212</v>
      </c>
      <c r="E89" s="9" t="s">
        <v>213</v>
      </c>
      <c r="F89" s="9" t="s">
        <v>214</v>
      </c>
      <c r="G89" s="9" t="s">
        <v>215</v>
      </c>
      <c r="H89" s="9" t="n">
        <v>365</v>
      </c>
      <c r="I89" s="10" t="n">
        <v>45998</v>
      </c>
      <c r="J89" s="9" t="s">
        <v>57</v>
      </c>
      <c r="K89" s="10" t="n">
        <v>45978</v>
      </c>
      <c r="L89" s="9" t="s">
        <v>572</v>
      </c>
      <c r="M89" s="9" t="str">
        <f aca="true">IF(ISBLANK(K89),IF(TODAY()&gt;I89,"OVERDUE - NOT COMPLETED","PENDING - NOT YET DUE"),IF(K89&gt;I89,"COMPLETED LATE","COMPLETED ON TIME"))</f>
        <v>COMPLETED ON TIME</v>
      </c>
    </row>
    <row r="90" customFormat="false" ht="15" hidden="false" customHeight="true" outlineLevel="0" collapsed="false">
      <c r="A90" s="9" t="s">
        <v>662</v>
      </c>
      <c r="B90" s="9" t="s">
        <v>133</v>
      </c>
      <c r="C90" s="9" t="s">
        <v>134</v>
      </c>
      <c r="D90" s="9" t="s">
        <v>219</v>
      </c>
      <c r="E90" s="9" t="s">
        <v>220</v>
      </c>
      <c r="F90" s="9" t="s">
        <v>221</v>
      </c>
      <c r="G90" s="9" t="s">
        <v>215</v>
      </c>
      <c r="H90" s="9" t="n">
        <v>365</v>
      </c>
      <c r="I90" s="10" t="n">
        <v>46124</v>
      </c>
      <c r="J90" s="9" t="s">
        <v>50</v>
      </c>
      <c r="K90" s="10" t="n">
        <v>46160</v>
      </c>
      <c r="L90" s="9" t="s">
        <v>572</v>
      </c>
      <c r="M90" s="9" t="str">
        <f aca="true">IF(ISBLANK(K90),IF(TODAY()&gt;I90,"OVERDUE - NOT COMPLETED","PENDING - NOT YET DUE"),IF(K90&gt;I90,"COMPLETED LATE","COMPLETED ON TIME"))</f>
        <v>COMPLETED LATE</v>
      </c>
    </row>
    <row r="91" customFormat="false" ht="15" hidden="false" customHeight="true" outlineLevel="0" collapsed="false">
      <c r="A91" s="9" t="s">
        <v>663</v>
      </c>
      <c r="B91" s="9" t="s">
        <v>133</v>
      </c>
      <c r="C91" s="9" t="s">
        <v>134</v>
      </c>
      <c r="D91" s="9" t="s">
        <v>240</v>
      </c>
      <c r="E91" s="9" t="s">
        <v>167</v>
      </c>
      <c r="F91" s="9" t="s">
        <v>168</v>
      </c>
      <c r="G91" s="9" t="s">
        <v>234</v>
      </c>
      <c r="H91" s="9" t="n">
        <v>365</v>
      </c>
      <c r="I91" s="10" t="n">
        <v>46163</v>
      </c>
      <c r="J91" s="9" t="s">
        <v>45</v>
      </c>
      <c r="K91" s="10"/>
      <c r="L91" s="9"/>
      <c r="M91" s="9" t="str">
        <f aca="true">IF(ISBLANK(K91),IF(TODAY()&gt;I91,"OVERDUE - NOT COMPLETED","PENDING - NOT YET DUE"),IF(K91&gt;I91,"COMPLETED LATE","COMPLETED ON TIME"))</f>
        <v>OVERDUE - NOT COMPLETED</v>
      </c>
    </row>
    <row r="92" customFormat="false" ht="15" hidden="false" customHeight="true" outlineLevel="0" collapsed="false">
      <c r="A92" s="9" t="s">
        <v>664</v>
      </c>
      <c r="B92" s="9" t="s">
        <v>136</v>
      </c>
      <c r="C92" s="9" t="s">
        <v>137</v>
      </c>
      <c r="D92" s="9" t="s">
        <v>240</v>
      </c>
      <c r="E92" s="9" t="s">
        <v>167</v>
      </c>
      <c r="F92" s="9" t="s">
        <v>168</v>
      </c>
      <c r="G92" s="9" t="s">
        <v>234</v>
      </c>
      <c r="H92" s="9" t="n">
        <v>365</v>
      </c>
      <c r="I92" s="10" t="n">
        <v>45971</v>
      </c>
      <c r="J92" s="9" t="s">
        <v>41</v>
      </c>
      <c r="K92" s="10" t="n">
        <v>45988</v>
      </c>
      <c r="L92" s="9" t="s">
        <v>572</v>
      </c>
      <c r="M92" s="9" t="str">
        <f aca="true">IF(ISBLANK(K92),IF(TODAY()&gt;I92,"OVERDUE - NOT COMPLETED","PENDING - NOT YET DUE"),IF(K92&gt;I92,"COMPLETED LATE","COMPLETED ON TIME"))</f>
        <v>COMPLETED LATE</v>
      </c>
    </row>
    <row r="93" customFormat="false" ht="15" hidden="false" customHeight="true" outlineLevel="0" collapsed="false">
      <c r="A93" s="9" t="s">
        <v>665</v>
      </c>
      <c r="B93" s="9" t="s">
        <v>138</v>
      </c>
      <c r="C93" s="9" t="s">
        <v>139</v>
      </c>
      <c r="D93" s="9" t="s">
        <v>240</v>
      </c>
      <c r="E93" s="9" t="s">
        <v>173</v>
      </c>
      <c r="F93" s="9" t="s">
        <v>174</v>
      </c>
      <c r="G93" s="9" t="s">
        <v>234</v>
      </c>
      <c r="H93" s="9" t="n">
        <v>365</v>
      </c>
      <c r="I93" s="10" t="n">
        <v>46079</v>
      </c>
      <c r="J93" s="9" t="s">
        <v>84</v>
      </c>
      <c r="K93" s="10" t="n">
        <v>46064</v>
      </c>
      <c r="L93" s="9" t="s">
        <v>572</v>
      </c>
      <c r="M93" s="9" t="str">
        <f aca="true">IF(ISBLANK(K93),IF(TODAY()&gt;I93,"OVERDUE - NOT COMPLETED","PENDING - NOT YET DUE"),IF(K93&gt;I93,"COMPLETED LATE","COMPLETED ON TIME"))</f>
        <v>COMPLETED ON TIME</v>
      </c>
    </row>
    <row r="94" customFormat="false" ht="15" hidden="false" customHeight="true" outlineLevel="0" collapsed="false">
      <c r="A94" s="9" t="s">
        <v>666</v>
      </c>
      <c r="B94" s="9" t="s">
        <v>138</v>
      </c>
      <c r="C94" s="9" t="s">
        <v>139</v>
      </c>
      <c r="D94" s="9" t="s">
        <v>212</v>
      </c>
      <c r="E94" s="9" t="s">
        <v>213</v>
      </c>
      <c r="F94" s="9" t="s">
        <v>214</v>
      </c>
      <c r="G94" s="9" t="s">
        <v>215</v>
      </c>
      <c r="H94" s="9" t="n">
        <v>365</v>
      </c>
      <c r="I94" s="10" t="n">
        <v>46246</v>
      </c>
      <c r="J94" s="9" t="s">
        <v>104</v>
      </c>
      <c r="K94" s="10" t="n">
        <v>46244</v>
      </c>
      <c r="L94" s="9" t="s">
        <v>612</v>
      </c>
      <c r="M94" s="9" t="str">
        <f aca="true">IF(ISBLANK(K94),IF(TODAY()&gt;I94,"OVERDUE - NOT COMPLETED","PENDING - NOT YET DUE"),IF(K94&gt;I94,"COMPLETED LATE","COMPLETED ON TIME"))</f>
        <v>COMPLETED ON TIME</v>
      </c>
    </row>
    <row r="95" customFormat="false" ht="15" hidden="false" customHeight="true" outlineLevel="0" collapsed="false">
      <c r="A95" s="9" t="s">
        <v>667</v>
      </c>
      <c r="B95" s="9" t="s">
        <v>140</v>
      </c>
      <c r="C95" s="9" t="s">
        <v>141</v>
      </c>
      <c r="D95" s="9" t="s">
        <v>240</v>
      </c>
      <c r="E95" s="9" t="s">
        <v>173</v>
      </c>
      <c r="F95" s="9" t="s">
        <v>174</v>
      </c>
      <c r="G95" s="9" t="s">
        <v>234</v>
      </c>
      <c r="H95" s="9" t="n">
        <v>365</v>
      </c>
      <c r="I95" s="10" t="n">
        <v>46097</v>
      </c>
      <c r="J95" s="9" t="s">
        <v>84</v>
      </c>
      <c r="K95" s="10" t="n">
        <v>46092</v>
      </c>
      <c r="L95" s="9" t="s">
        <v>572</v>
      </c>
      <c r="M95" s="9" t="str">
        <f aca="true">IF(ISBLANK(K95),IF(TODAY()&gt;I95,"OVERDUE - NOT COMPLETED","PENDING - NOT YET DUE"),IF(K95&gt;I95,"COMPLETED LATE","COMPLETED ON TIME"))</f>
        <v>COMPLETED ON TIME</v>
      </c>
    </row>
    <row r="96" customFormat="false" ht="15" hidden="false" customHeight="true" outlineLevel="0" collapsed="false">
      <c r="A96" s="9" t="s">
        <v>668</v>
      </c>
      <c r="B96" s="9" t="s">
        <v>142</v>
      </c>
      <c r="C96" s="9" t="s">
        <v>143</v>
      </c>
      <c r="D96" s="9" t="s">
        <v>240</v>
      </c>
      <c r="E96" s="9" t="s">
        <v>173</v>
      </c>
      <c r="F96" s="9" t="s">
        <v>174</v>
      </c>
      <c r="G96" s="9" t="s">
        <v>234</v>
      </c>
      <c r="H96" s="9" t="n">
        <v>365</v>
      </c>
      <c r="I96" s="10" t="n">
        <v>46108</v>
      </c>
      <c r="J96" s="9" t="s">
        <v>104</v>
      </c>
      <c r="K96" s="10" t="n">
        <v>46108</v>
      </c>
      <c r="L96" s="9" t="s">
        <v>572</v>
      </c>
      <c r="M96" s="9" t="str">
        <f aca="true">IF(ISBLANK(K96),IF(TODAY()&gt;I96,"OVERDUE - NOT COMPLETED","PENDING - NOT YET DUE"),IF(K96&gt;I96,"COMPLETED LATE","COMPLETED ON TIME"))</f>
        <v>COMPLETED ON TIME</v>
      </c>
    </row>
    <row r="97" customFormat="false" ht="15" hidden="false" customHeight="true" outlineLevel="0" collapsed="false">
      <c r="A97" s="9" t="s">
        <v>669</v>
      </c>
      <c r="B97" s="9" t="s">
        <v>142</v>
      </c>
      <c r="C97" s="9" t="s">
        <v>143</v>
      </c>
      <c r="D97" s="9" t="s">
        <v>269</v>
      </c>
      <c r="E97" s="9" t="s">
        <v>195</v>
      </c>
      <c r="F97" s="9" t="s">
        <v>196</v>
      </c>
      <c r="G97" s="9" t="s">
        <v>234</v>
      </c>
      <c r="H97" s="9" t="n">
        <v>365</v>
      </c>
      <c r="I97" s="10" t="n">
        <v>46261</v>
      </c>
      <c r="J97" s="9" t="s">
        <v>104</v>
      </c>
      <c r="K97" s="10" t="n">
        <v>46241</v>
      </c>
      <c r="L97" s="9" t="s">
        <v>577</v>
      </c>
      <c r="M97" s="9" t="str">
        <f aca="true">IF(ISBLANK(K97),IF(TODAY()&gt;I97,"OVERDUE - NOT COMPLETED","PENDING - NOT YET DUE"),IF(K97&gt;I97,"COMPLETED LATE","COMPLETED ON TIME"))</f>
        <v>COMPLETED ON TIME</v>
      </c>
    </row>
    <row r="98" customFormat="false" ht="15" hidden="false" customHeight="true" outlineLevel="0" collapsed="false">
      <c r="A98" s="9" t="s">
        <v>670</v>
      </c>
      <c r="B98" s="9" t="s">
        <v>142</v>
      </c>
      <c r="C98" s="9" t="s">
        <v>143</v>
      </c>
      <c r="D98" s="9" t="s">
        <v>269</v>
      </c>
      <c r="E98" s="9" t="s">
        <v>197</v>
      </c>
      <c r="F98" s="9" t="s">
        <v>198</v>
      </c>
      <c r="G98" s="9" t="s">
        <v>226</v>
      </c>
      <c r="H98" s="9" t="n">
        <v>90</v>
      </c>
      <c r="I98" s="10" t="n">
        <v>46322</v>
      </c>
      <c r="J98" s="9" t="s">
        <v>135</v>
      </c>
      <c r="K98" s="10"/>
      <c r="L98" s="9"/>
      <c r="M98" s="9" t="str">
        <f aca="true">IF(ISBLANK(K98),IF(TODAY()&gt;I98,"OVERDUE - NOT COMPLETED","PENDING - NOT YET DUE"),IF(K98&gt;I98,"COMPLETED LATE","COMPLETED ON TIME"))</f>
        <v>PENDING - NOT YET DUE</v>
      </c>
    </row>
    <row r="99" customFormat="false" ht="15" hidden="false" customHeight="true" outlineLevel="0" collapsed="false">
      <c r="A99" s="9" t="s">
        <v>671</v>
      </c>
      <c r="B99" s="9" t="s">
        <v>144</v>
      </c>
      <c r="C99" s="9" t="s">
        <v>145</v>
      </c>
      <c r="D99" s="9" t="s">
        <v>240</v>
      </c>
      <c r="E99" s="9" t="s">
        <v>179</v>
      </c>
      <c r="F99" s="9" t="s">
        <v>180</v>
      </c>
      <c r="G99" s="9" t="s">
        <v>226</v>
      </c>
      <c r="H99" s="9" t="n">
        <v>90</v>
      </c>
      <c r="I99" s="10" t="n">
        <v>46258</v>
      </c>
      <c r="J99" s="9" t="s">
        <v>53</v>
      </c>
      <c r="K99" s="10"/>
      <c r="L99" s="9"/>
      <c r="M99" s="9" t="str">
        <f aca="true">IF(ISBLANK(K99),IF(TODAY()&gt;I99,"OVERDUE - NOT COMPLETED","PENDING - NOT YET DUE"),IF(K99&gt;I99,"COMPLETED LATE","COMPLETED ON TIME"))</f>
        <v>OVERDUE - NOT COMPLETED</v>
      </c>
    </row>
    <row r="100" customFormat="false" ht="15" hidden="false" customHeight="true" outlineLevel="0" collapsed="false">
      <c r="A100" s="9" t="s">
        <v>672</v>
      </c>
      <c r="B100" s="9" t="s">
        <v>144</v>
      </c>
      <c r="C100" s="9" t="s">
        <v>145</v>
      </c>
      <c r="D100" s="9" t="s">
        <v>240</v>
      </c>
      <c r="E100" s="9" t="s">
        <v>167</v>
      </c>
      <c r="F100" s="9" t="s">
        <v>168</v>
      </c>
      <c r="G100" s="9" t="s">
        <v>234</v>
      </c>
      <c r="H100" s="9" t="n">
        <v>365</v>
      </c>
      <c r="I100" s="10" t="n">
        <v>46115</v>
      </c>
      <c r="J100" s="9" t="s">
        <v>53</v>
      </c>
      <c r="K100" s="10" t="n">
        <v>46095</v>
      </c>
      <c r="L100" s="9" t="s">
        <v>572</v>
      </c>
      <c r="M100" s="9" t="str">
        <f aca="true">IF(ISBLANK(K100),IF(TODAY()&gt;I100,"OVERDUE - NOT COMPLETED","PENDING - NOT YET DUE"),IF(K100&gt;I100,"COMPLETED LATE","COMPLETED ON TIME"))</f>
        <v>COMPLETED ON TIME</v>
      </c>
    </row>
    <row r="101" customFormat="false" ht="15" hidden="false" customHeight="true" outlineLevel="0" collapsed="false">
      <c r="A101" s="9" t="s">
        <v>673</v>
      </c>
      <c r="B101" s="9" t="s">
        <v>144</v>
      </c>
      <c r="C101" s="9" t="s">
        <v>145</v>
      </c>
      <c r="D101" s="9" t="s">
        <v>219</v>
      </c>
      <c r="E101" s="9" t="s">
        <v>220</v>
      </c>
      <c r="F101" s="9" t="s">
        <v>221</v>
      </c>
      <c r="G101" s="9" t="s">
        <v>215</v>
      </c>
      <c r="H101" s="9" t="n">
        <v>365</v>
      </c>
      <c r="I101" s="10" t="n">
        <v>46253</v>
      </c>
      <c r="J101" s="9" t="s">
        <v>41</v>
      </c>
      <c r="K101" s="10" t="n">
        <v>46250</v>
      </c>
      <c r="L101" s="9" t="s">
        <v>572</v>
      </c>
      <c r="M101" s="9" t="str">
        <f aca="true">IF(ISBLANK(K101),IF(TODAY()&gt;I101,"OVERDUE - NOT COMPLETED","PENDING - NOT YET DUE"),IF(K101&gt;I101,"COMPLETED LATE","COMPLETED ON TIME"))</f>
        <v>COMPLETED ON TIME</v>
      </c>
    </row>
    <row r="102" customFormat="false" ht="15" hidden="false" customHeight="true" outlineLevel="0" collapsed="false">
      <c r="A102" s="9" t="s">
        <v>674</v>
      </c>
      <c r="B102" s="9" t="s">
        <v>146</v>
      </c>
      <c r="C102" s="9" t="s">
        <v>147</v>
      </c>
      <c r="D102" s="9" t="s">
        <v>212</v>
      </c>
      <c r="E102" s="9" t="s">
        <v>224</v>
      </c>
      <c r="F102" s="9" t="s">
        <v>225</v>
      </c>
      <c r="G102" s="9" t="s">
        <v>226</v>
      </c>
      <c r="H102" s="9" t="n">
        <v>90</v>
      </c>
      <c r="I102" s="10" t="n">
        <v>46194</v>
      </c>
      <c r="J102" s="9" t="s">
        <v>104</v>
      </c>
      <c r="K102" s="10" t="n">
        <v>46180</v>
      </c>
      <c r="L102" s="9" t="s">
        <v>572</v>
      </c>
      <c r="M102" s="9" t="str">
        <f aca="true">IF(ISBLANK(K102),IF(TODAY()&gt;I102,"OVERDUE - NOT COMPLETED","PENDING - NOT YET DUE"),IF(K102&gt;I102,"COMPLETED LATE","COMPLETED ON TIME"))</f>
        <v>COMPLETED ON TIME</v>
      </c>
    </row>
    <row r="103" customFormat="false" ht="15" hidden="false" customHeight="true" outlineLevel="0" collapsed="false">
      <c r="A103" s="9" t="s">
        <v>675</v>
      </c>
      <c r="B103" s="9" t="s">
        <v>148</v>
      </c>
      <c r="C103" s="9" t="s">
        <v>149</v>
      </c>
      <c r="D103" s="9" t="s">
        <v>219</v>
      </c>
      <c r="E103" s="9" t="s">
        <v>183</v>
      </c>
      <c r="F103" s="9" t="s">
        <v>184</v>
      </c>
      <c r="G103" s="9" t="s">
        <v>234</v>
      </c>
      <c r="H103" s="9" t="n">
        <v>365</v>
      </c>
      <c r="I103" s="10" t="n">
        <v>45929</v>
      </c>
      <c r="J103" s="9" t="s">
        <v>104</v>
      </c>
      <c r="K103" s="10" t="n">
        <v>45922</v>
      </c>
      <c r="L103" s="9" t="s">
        <v>572</v>
      </c>
      <c r="M103" s="9" t="str">
        <f aca="true">IF(ISBLANK(K103),IF(TODAY()&gt;I103,"OVERDUE - NOT COMPLETED","PENDING - NOT YET DUE"),IF(K103&gt;I103,"COMPLETED LATE","COMPLETED ON TIME"))</f>
        <v>COMPLETED ON TIME</v>
      </c>
    </row>
    <row r="104" customFormat="false" ht="15" hidden="false" customHeight="true" outlineLevel="0" collapsed="false">
      <c r="A104" s="9" t="s">
        <v>676</v>
      </c>
      <c r="B104" s="9" t="s">
        <v>148</v>
      </c>
      <c r="C104" s="9" t="s">
        <v>149</v>
      </c>
      <c r="D104" s="9" t="s">
        <v>219</v>
      </c>
      <c r="E104" s="9" t="s">
        <v>220</v>
      </c>
      <c r="F104" s="9" t="s">
        <v>221</v>
      </c>
      <c r="G104" s="9" t="s">
        <v>215</v>
      </c>
      <c r="H104" s="9" t="n">
        <v>365</v>
      </c>
      <c r="I104" s="10" t="n">
        <v>46232</v>
      </c>
      <c r="J104" s="9" t="s">
        <v>53</v>
      </c>
      <c r="K104" s="10" t="n">
        <v>46216</v>
      </c>
      <c r="L104" s="9" t="s">
        <v>572</v>
      </c>
      <c r="M104" s="9" t="str">
        <f aca="true">IF(ISBLANK(K104),IF(TODAY()&gt;I104,"OVERDUE - NOT COMPLETED","PENDING - NOT YET DUE"),IF(K104&gt;I104,"COMPLETED LATE","COMPLETED ON TIME"))</f>
        <v>COMPLETED ON TIME</v>
      </c>
    </row>
    <row r="105" customFormat="false" ht="15" hidden="false" customHeight="true" outlineLevel="0" collapsed="false">
      <c r="A105" s="9" t="s">
        <v>677</v>
      </c>
      <c r="B105" s="9" t="s">
        <v>148</v>
      </c>
      <c r="C105" s="9" t="s">
        <v>149</v>
      </c>
      <c r="D105" s="9" t="s">
        <v>219</v>
      </c>
      <c r="E105" s="9" t="s">
        <v>185</v>
      </c>
      <c r="F105" s="9" t="s">
        <v>186</v>
      </c>
      <c r="G105" s="9" t="s">
        <v>226</v>
      </c>
      <c r="H105" s="9" t="n">
        <v>90</v>
      </c>
      <c r="I105" s="10" t="n">
        <v>46268</v>
      </c>
      <c r="J105" s="9" t="s">
        <v>57</v>
      </c>
      <c r="K105" s="10" t="n">
        <v>46261</v>
      </c>
      <c r="L105" s="9" t="s">
        <v>572</v>
      </c>
      <c r="M105" s="9" t="str">
        <f aca="true">IF(ISBLANK(K105),IF(TODAY()&gt;I105,"OVERDUE - NOT COMPLETED","PENDING - NOT YET DUE"),IF(K105&gt;I105,"COMPLETED LATE","COMPLETED ON TIME"))</f>
        <v>COMPLETED ON TIME</v>
      </c>
    </row>
    <row r="106" customFormat="false" ht="15" hidden="false" customHeight="true" outlineLevel="0" collapsed="false">
      <c r="A106" s="9" t="s">
        <v>678</v>
      </c>
      <c r="B106" s="9" t="s">
        <v>150</v>
      </c>
      <c r="C106" s="9" t="s">
        <v>151</v>
      </c>
      <c r="D106" s="9" t="s">
        <v>240</v>
      </c>
      <c r="E106" s="9" t="s">
        <v>169</v>
      </c>
      <c r="F106" s="9" t="s">
        <v>170</v>
      </c>
      <c r="G106" s="9" t="s">
        <v>234</v>
      </c>
      <c r="H106" s="9" t="n">
        <v>365</v>
      </c>
      <c r="I106" s="10" t="n">
        <v>46300</v>
      </c>
      <c r="J106" s="9" t="s">
        <v>84</v>
      </c>
      <c r="K106" s="10" t="n">
        <v>46285</v>
      </c>
      <c r="L106" s="9" t="s">
        <v>577</v>
      </c>
      <c r="M106" s="9" t="str">
        <f aca="true">IF(ISBLANK(K106),IF(TODAY()&gt;I106,"OVERDUE - NOT COMPLETED","PENDING - NOT YET DUE"),IF(K106&gt;I106,"COMPLETED LATE","COMPLETED ON TIME"))</f>
        <v>COMPLETED ON TIME</v>
      </c>
    </row>
    <row r="107" customFormat="false" ht="15" hidden="false" customHeight="true" outlineLevel="0" collapsed="false">
      <c r="A107" s="9" t="s">
        <v>679</v>
      </c>
      <c r="B107" s="9" t="s">
        <v>150</v>
      </c>
      <c r="C107" s="9" t="s">
        <v>151</v>
      </c>
      <c r="D107" s="9" t="s">
        <v>212</v>
      </c>
      <c r="E107" s="9" t="s">
        <v>213</v>
      </c>
      <c r="F107" s="9" t="s">
        <v>214</v>
      </c>
      <c r="G107" s="9" t="s">
        <v>215</v>
      </c>
      <c r="H107" s="9" t="n">
        <v>365</v>
      </c>
      <c r="I107" s="10" t="n">
        <v>46171</v>
      </c>
      <c r="J107" s="9" t="s">
        <v>62</v>
      </c>
      <c r="K107" s="10" t="n">
        <v>46169</v>
      </c>
      <c r="L107" s="9" t="s">
        <v>577</v>
      </c>
      <c r="M107" s="9" t="str">
        <f aca="true">IF(ISBLANK(K107),IF(TODAY()&gt;I107,"OVERDUE - NOT COMPLETED","PENDING - NOT YET DUE"),IF(K107&gt;I107,"COMPLETED LATE","COMPLETED ON TIME"))</f>
        <v>COMPLETED ON TIME</v>
      </c>
    </row>
    <row r="108" customFormat="false" ht="15" hidden="false" customHeight="true" outlineLevel="0" collapsed="false">
      <c r="A108" s="9" t="s">
        <v>680</v>
      </c>
      <c r="B108" s="9" t="s">
        <v>152</v>
      </c>
      <c r="C108" s="9" t="s">
        <v>153</v>
      </c>
      <c r="D108" s="9" t="s">
        <v>219</v>
      </c>
      <c r="E108" s="9" t="s">
        <v>220</v>
      </c>
      <c r="F108" s="9" t="s">
        <v>221</v>
      </c>
      <c r="G108" s="9" t="s">
        <v>215</v>
      </c>
      <c r="H108" s="9" t="n">
        <v>365</v>
      </c>
      <c r="I108" s="10" t="n">
        <v>46288</v>
      </c>
      <c r="J108" s="9" t="s">
        <v>41</v>
      </c>
      <c r="K108" s="10" t="n">
        <v>46285</v>
      </c>
      <c r="L108" s="9" t="s">
        <v>572</v>
      </c>
      <c r="M108" s="9" t="str">
        <f aca="true">IF(ISBLANK(K108),IF(TODAY()&gt;I108,"OVERDUE - NOT COMPLETED","PENDING - NOT YET DUE"),IF(K108&gt;I108,"COMPLETED LATE","COMPLETED ON TIME"))</f>
        <v>COMPLETED ON TIME</v>
      </c>
    </row>
    <row r="109" customFormat="false" ht="15" hidden="false" customHeight="true" outlineLevel="0" collapsed="false">
      <c r="A109" s="9" t="s">
        <v>681</v>
      </c>
      <c r="B109" s="9" t="s">
        <v>152</v>
      </c>
      <c r="C109" s="9" t="s">
        <v>153</v>
      </c>
      <c r="D109" s="9" t="s">
        <v>269</v>
      </c>
      <c r="E109" s="9" t="s">
        <v>195</v>
      </c>
      <c r="F109" s="9" t="s">
        <v>196</v>
      </c>
      <c r="G109" s="9" t="s">
        <v>234</v>
      </c>
      <c r="H109" s="9" t="n">
        <v>365</v>
      </c>
      <c r="I109" s="10" t="n">
        <v>46071</v>
      </c>
      <c r="J109" s="9" t="s">
        <v>53</v>
      </c>
      <c r="K109" s="10" t="n">
        <v>46055</v>
      </c>
      <c r="L109" s="9" t="s">
        <v>572</v>
      </c>
      <c r="M109" s="9" t="str">
        <f aca="true">IF(ISBLANK(K109),IF(TODAY()&gt;I109,"OVERDUE - NOT COMPLETED","PENDING - NOT YET DUE"),IF(K109&gt;I109,"COMPLETED LATE","COMPLETED ON TIME"))</f>
        <v>COMPLETED ON TIME</v>
      </c>
    </row>
    <row r="110" customFormat="false" ht="15" hidden="false" customHeight="true" outlineLevel="0" collapsed="false">
      <c r="A110" s="9" t="s">
        <v>682</v>
      </c>
      <c r="B110" s="9" t="s">
        <v>152</v>
      </c>
      <c r="C110" s="9" t="s">
        <v>153</v>
      </c>
      <c r="D110" s="9" t="s">
        <v>240</v>
      </c>
      <c r="E110" s="9" t="s">
        <v>177</v>
      </c>
      <c r="F110" s="9" t="s">
        <v>178</v>
      </c>
      <c r="G110" s="9" t="s">
        <v>234</v>
      </c>
      <c r="H110" s="9" t="n">
        <v>365</v>
      </c>
      <c r="I110" s="10" t="n">
        <v>46418</v>
      </c>
      <c r="J110" s="9" t="s">
        <v>41</v>
      </c>
      <c r="K110" s="10" t="n">
        <v>46404</v>
      </c>
      <c r="L110" s="9" t="s">
        <v>572</v>
      </c>
      <c r="M110" s="9" t="str">
        <f aca="true">IF(ISBLANK(K110),IF(TODAY()&gt;I110,"OVERDUE - NOT COMPLETED","PENDING - NOT YET DUE"),IF(K110&gt;I110,"COMPLETED LATE","COMPLETED ON TIME"))</f>
        <v>COMPLETED ON TIME</v>
      </c>
    </row>
    <row r="111" customFormat="false" ht="15" hidden="false" customHeight="true" outlineLevel="0" collapsed="false">
      <c r="A111" s="9" t="s">
        <v>683</v>
      </c>
      <c r="B111" s="9" t="s">
        <v>152</v>
      </c>
      <c r="C111" s="9" t="s">
        <v>153</v>
      </c>
      <c r="D111" s="9" t="s">
        <v>240</v>
      </c>
      <c r="E111" s="9" t="s">
        <v>179</v>
      </c>
      <c r="F111" s="9" t="s">
        <v>180</v>
      </c>
      <c r="G111" s="9" t="s">
        <v>226</v>
      </c>
      <c r="H111" s="9" t="n">
        <v>90</v>
      </c>
      <c r="I111" s="10" t="n">
        <v>46299</v>
      </c>
      <c r="J111" s="9" t="s">
        <v>135</v>
      </c>
      <c r="K111" s="10" t="n">
        <v>46282</v>
      </c>
      <c r="L111" s="9" t="s">
        <v>572</v>
      </c>
      <c r="M111" s="9" t="str">
        <f aca="true">IF(ISBLANK(K111),IF(TODAY()&gt;I111,"OVERDUE - NOT COMPLETED","PENDING - NOT YET DUE"),IF(K111&gt;I111,"COMPLETED LATE","COMPLETED ON TIME"))</f>
        <v>COMPLETED ON TIME</v>
      </c>
    </row>
    <row r="112" customFormat="false" ht="15" hidden="false" customHeight="true" outlineLevel="0" collapsed="false">
      <c r="A112" s="9" t="s">
        <v>684</v>
      </c>
      <c r="B112" s="9" t="s">
        <v>154</v>
      </c>
      <c r="C112" s="9" t="s">
        <v>155</v>
      </c>
      <c r="D112" s="9" t="s">
        <v>212</v>
      </c>
      <c r="E112" s="9" t="s">
        <v>213</v>
      </c>
      <c r="F112" s="9" t="s">
        <v>214</v>
      </c>
      <c r="G112" s="9" t="s">
        <v>215</v>
      </c>
      <c r="H112" s="9" t="n">
        <v>365</v>
      </c>
      <c r="I112" s="10" t="n">
        <v>45940</v>
      </c>
      <c r="J112" s="9" t="s">
        <v>84</v>
      </c>
      <c r="K112" s="10" t="n">
        <v>45941</v>
      </c>
      <c r="L112" s="9" t="s">
        <v>572</v>
      </c>
      <c r="M112" s="9" t="str">
        <f aca="true">IF(ISBLANK(K112),IF(TODAY()&gt;I112,"OVERDUE - NOT COMPLETED","PENDING - NOT YET DUE"),IF(K112&gt;I112,"COMPLETED LATE","COMPLETED ON TIME"))</f>
        <v>COMPLETED LATE</v>
      </c>
    </row>
    <row r="113" customFormat="false" ht="15" hidden="false" customHeight="true" outlineLevel="0" collapsed="false">
      <c r="A113" s="9" t="s">
        <v>685</v>
      </c>
      <c r="B113" s="9" t="s">
        <v>154</v>
      </c>
      <c r="C113" s="9" t="s">
        <v>155</v>
      </c>
      <c r="D113" s="9" t="s">
        <v>219</v>
      </c>
      <c r="E113" s="9" t="s">
        <v>220</v>
      </c>
      <c r="F113" s="9" t="s">
        <v>221</v>
      </c>
      <c r="G113" s="9" t="s">
        <v>215</v>
      </c>
      <c r="H113" s="9" t="n">
        <v>365</v>
      </c>
      <c r="I113" s="10" t="n">
        <v>46351</v>
      </c>
      <c r="J113" s="9" t="s">
        <v>57</v>
      </c>
      <c r="K113" s="10" t="n">
        <v>46334</v>
      </c>
      <c r="L113" s="9" t="s">
        <v>572</v>
      </c>
      <c r="M113" s="9" t="str">
        <f aca="true">IF(ISBLANK(K113),IF(TODAY()&gt;I113,"OVERDUE - NOT COMPLETED","PENDING - NOT YET DUE"),IF(K113&gt;I113,"COMPLETED LATE","COMPLETED ON TIME"))</f>
        <v>COMPLETED ON TIME</v>
      </c>
    </row>
    <row r="114" customFormat="false" ht="15" hidden="false" customHeight="true" outlineLevel="0" collapsed="false">
      <c r="A114" s="9" t="s">
        <v>686</v>
      </c>
      <c r="B114" s="9" t="s">
        <v>154</v>
      </c>
      <c r="C114" s="9" t="s">
        <v>155</v>
      </c>
      <c r="D114" s="9" t="s">
        <v>240</v>
      </c>
      <c r="E114" s="9" t="s">
        <v>173</v>
      </c>
      <c r="F114" s="9" t="s">
        <v>174</v>
      </c>
      <c r="G114" s="9" t="s">
        <v>234</v>
      </c>
      <c r="H114" s="9" t="n">
        <v>365</v>
      </c>
      <c r="I114" s="10" t="n">
        <v>45950</v>
      </c>
      <c r="J114" s="9" t="s">
        <v>104</v>
      </c>
      <c r="K114" s="10" t="n">
        <v>45946</v>
      </c>
      <c r="L114" s="9" t="s">
        <v>572</v>
      </c>
      <c r="M114" s="9" t="str">
        <f aca="true">IF(ISBLANK(K114),IF(TODAY()&gt;I114,"OVERDUE - NOT COMPLETED","PENDING - NOT YET DUE"),IF(K114&gt;I114,"COMPLETED LATE","COMPLETED ON TIME"))</f>
        <v>COMPLETED ON TIME</v>
      </c>
    </row>
    <row r="115" customFormat="false" ht="15" hidden="false" customHeight="true" outlineLevel="0" collapsed="false">
      <c r="A115" s="9" t="s">
        <v>687</v>
      </c>
      <c r="B115" s="9" t="s">
        <v>156</v>
      </c>
      <c r="C115" s="9" t="s">
        <v>157</v>
      </c>
      <c r="D115" s="9" t="s">
        <v>240</v>
      </c>
      <c r="E115" s="9" t="s">
        <v>173</v>
      </c>
      <c r="F115" s="9" t="s">
        <v>174</v>
      </c>
      <c r="G115" s="9" t="s">
        <v>234</v>
      </c>
      <c r="H115" s="9" t="n">
        <v>365</v>
      </c>
      <c r="I115" s="10" t="n">
        <v>46377</v>
      </c>
      <c r="J115" s="9" t="s">
        <v>84</v>
      </c>
      <c r="K115" s="10" t="n">
        <v>46360</v>
      </c>
      <c r="L115" s="9" t="s">
        <v>572</v>
      </c>
      <c r="M115" s="9" t="str">
        <f aca="true">IF(ISBLANK(K115),IF(TODAY()&gt;I115,"OVERDUE - NOT COMPLETED","PENDING - NOT YET DUE"),IF(K115&gt;I115,"COMPLETED LATE","COMPLETED ON TIME"))</f>
        <v>COMPLETED ON TIME</v>
      </c>
    </row>
    <row r="116" customFormat="false" ht="15" hidden="false" customHeight="true" outlineLevel="0" collapsed="false">
      <c r="A116" s="9" t="s">
        <v>688</v>
      </c>
      <c r="B116" s="9" t="s">
        <v>156</v>
      </c>
      <c r="C116" s="9" t="s">
        <v>157</v>
      </c>
      <c r="D116" s="9" t="s">
        <v>240</v>
      </c>
      <c r="E116" s="9" t="s">
        <v>167</v>
      </c>
      <c r="F116" s="9" t="s">
        <v>168</v>
      </c>
      <c r="G116" s="9" t="s">
        <v>234</v>
      </c>
      <c r="H116" s="9" t="n">
        <v>365</v>
      </c>
      <c r="I116" s="10" t="n">
        <v>46039</v>
      </c>
      <c r="J116" s="9" t="s">
        <v>53</v>
      </c>
      <c r="K116" s="10" t="n">
        <v>46027</v>
      </c>
      <c r="L116" s="9" t="s">
        <v>577</v>
      </c>
      <c r="M116" s="9" t="str">
        <f aca="true">IF(ISBLANK(K116),IF(TODAY()&gt;I116,"OVERDUE - NOT COMPLETED","PENDING - NOT YET DUE"),IF(K116&gt;I116,"COMPLETED LATE","COMPLETED ON TIME"))</f>
        <v>COMPLETED ON TIME</v>
      </c>
    </row>
    <row r="117" customFormat="false" ht="15" hidden="false" customHeight="true" outlineLevel="0" collapsed="false">
      <c r="A117" s="9" t="s">
        <v>689</v>
      </c>
      <c r="B117" s="9" t="s">
        <v>156</v>
      </c>
      <c r="C117" s="9" t="s">
        <v>157</v>
      </c>
      <c r="D117" s="9" t="s">
        <v>240</v>
      </c>
      <c r="E117" s="9" t="s">
        <v>169</v>
      </c>
      <c r="F117" s="9" t="s">
        <v>170</v>
      </c>
      <c r="G117" s="9" t="s">
        <v>234</v>
      </c>
      <c r="H117" s="9" t="n">
        <v>365</v>
      </c>
      <c r="I117" s="10" t="n">
        <v>45921</v>
      </c>
      <c r="J117" s="9" t="s">
        <v>69</v>
      </c>
      <c r="K117" s="10" t="n">
        <v>45907</v>
      </c>
      <c r="L117" s="9" t="s">
        <v>577</v>
      </c>
      <c r="M117" s="9" t="str">
        <f aca="true">IF(ISBLANK(K117),IF(TODAY()&gt;I117,"OVERDUE - NOT COMPLETED","PENDING - NOT YET DUE"),IF(K117&gt;I117,"COMPLETED LATE","COMPLETED ON TIME"))</f>
        <v>COMPLETED ON TIME</v>
      </c>
    </row>
    <row r="118" customFormat="false" ht="15" hidden="false" customHeight="true" outlineLevel="0" collapsed="false">
      <c r="A118" s="9" t="s">
        <v>690</v>
      </c>
      <c r="B118" s="9" t="s">
        <v>158</v>
      </c>
      <c r="C118" s="9" t="s">
        <v>159</v>
      </c>
      <c r="D118" s="9" t="s">
        <v>212</v>
      </c>
      <c r="E118" s="9" t="s">
        <v>224</v>
      </c>
      <c r="F118" s="9" t="s">
        <v>225</v>
      </c>
      <c r="G118" s="9" t="s">
        <v>226</v>
      </c>
      <c r="H118" s="9" t="n">
        <v>90</v>
      </c>
      <c r="I118" s="10" t="n">
        <v>46251</v>
      </c>
      <c r="J118" s="9" t="s">
        <v>45</v>
      </c>
      <c r="K118" s="10" t="n">
        <v>46247</v>
      </c>
      <c r="L118" s="9" t="s">
        <v>572</v>
      </c>
      <c r="M118" s="9" t="str">
        <f aca="true">IF(ISBLANK(K118),IF(TODAY()&gt;I118,"OVERDUE - NOT COMPLETED","PENDING - NOT YET DUE"),IF(K118&gt;I118,"COMPLETED LATE","COMPLETED ON TIME"))</f>
        <v>COMPLETED ON TIME</v>
      </c>
    </row>
    <row r="119" customFormat="false" ht="15" hidden="false" customHeight="true" outlineLevel="0" collapsed="false">
      <c r="A119" s="9" t="s">
        <v>691</v>
      </c>
      <c r="B119" s="9" t="s">
        <v>158</v>
      </c>
      <c r="C119" s="9" t="s">
        <v>159</v>
      </c>
      <c r="D119" s="9" t="s">
        <v>219</v>
      </c>
      <c r="E119" s="9" t="s">
        <v>220</v>
      </c>
      <c r="F119" s="9" t="s">
        <v>221</v>
      </c>
      <c r="G119" s="9" t="s">
        <v>215</v>
      </c>
      <c r="H119" s="9" t="n">
        <v>365</v>
      </c>
      <c r="I119" s="10" t="n">
        <v>45950</v>
      </c>
      <c r="J119" s="9" t="s">
        <v>84</v>
      </c>
      <c r="K119" s="10" t="n">
        <v>45950</v>
      </c>
      <c r="L119" s="9" t="s">
        <v>572</v>
      </c>
      <c r="M119" s="9" t="str">
        <f aca="true">IF(ISBLANK(K119),IF(TODAY()&gt;I119,"OVERDUE - NOT COMPLETED","PENDING - NOT YET DUE"),IF(K119&gt;I119,"COMPLETED LATE","COMPLETED ON TIME"))</f>
        <v>COMPLETED ON TIME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V17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18"/>
    <col collapsed="false" customWidth="true" hidden="false" outlineLevel="0" max="4" min="4" style="1" width="16"/>
    <col collapsed="false" customWidth="true" hidden="false" outlineLevel="0" max="5" min="5" style="1" width="10"/>
    <col collapsed="false" customWidth="true" hidden="false" outlineLevel="0" max="6" min="6" style="1" width="8"/>
    <col collapsed="false" customWidth="true" hidden="false" outlineLevel="0" max="7" min="7" style="1" width="24"/>
    <col collapsed="false" customWidth="true" hidden="false" outlineLevel="0" max="9" min="8" style="1" width="10"/>
    <col collapsed="false" customWidth="true" hidden="false" outlineLevel="0" max="10" min="10" style="1" width="12"/>
    <col collapsed="false" customWidth="true" hidden="false" outlineLevel="0" max="11" min="11" style="1" width="14"/>
    <col collapsed="false" customWidth="true" hidden="false" outlineLevel="0" max="12" min="12" style="1" width="12"/>
    <col collapsed="false" customWidth="true" hidden="false" outlineLevel="0" max="13" min="13" style="1" width="32"/>
    <col collapsed="false" customWidth="true" hidden="false" outlineLevel="0" max="14" min="14" style="1" width="18"/>
    <col collapsed="false" customWidth="true" hidden="false" outlineLevel="0" max="15" min="15" style="1" width="14"/>
    <col collapsed="false" customWidth="true" hidden="false" outlineLevel="0" max="16" min="16" style="1" width="26"/>
    <col collapsed="false" customWidth="true" hidden="false" outlineLevel="0" max="17" min="17" style="1" width="14"/>
    <col collapsed="false" customWidth="true" hidden="false" outlineLevel="0" max="18" min="18" style="1" width="22"/>
    <col collapsed="false" customWidth="true" hidden="false" outlineLevel="0" max="19" min="19" style="1" width="34"/>
    <col collapsed="false" customWidth="true" hidden="false" outlineLevel="0" max="20" min="20" style="1" width="32"/>
    <col collapsed="false" customWidth="true" hidden="false" outlineLevel="0" max="21" min="21" style="1" width="14"/>
    <col collapsed="false" customWidth="true" hidden="false" outlineLevel="0" max="22" min="22" style="1" width="28"/>
  </cols>
  <sheetData>
    <row r="1" customFormat="false" ht="23.25" hidden="false" customHeight="true" outlineLevel="0" collapsed="false">
      <c r="A1" s="8" t="s">
        <v>200</v>
      </c>
      <c r="B1" s="8" t="s">
        <v>29</v>
      </c>
      <c r="C1" s="8" t="s">
        <v>201</v>
      </c>
      <c r="D1" s="8" t="s">
        <v>31</v>
      </c>
      <c r="E1" s="8" t="s">
        <v>202</v>
      </c>
      <c r="F1" s="8" t="s">
        <v>203</v>
      </c>
      <c r="G1" s="8" t="s">
        <v>204</v>
      </c>
      <c r="H1" s="8" t="s">
        <v>205</v>
      </c>
      <c r="I1" s="8" t="s">
        <v>692</v>
      </c>
      <c r="J1" s="8" t="s">
        <v>206</v>
      </c>
      <c r="K1" s="8" t="s">
        <v>34</v>
      </c>
      <c r="L1" s="8" t="s">
        <v>210</v>
      </c>
      <c r="M1" s="8" t="s">
        <v>693</v>
      </c>
      <c r="N1" s="8" t="s">
        <v>207</v>
      </c>
      <c r="O1" s="8" t="s">
        <v>208</v>
      </c>
      <c r="P1" s="8" t="s">
        <v>694</v>
      </c>
      <c r="Q1" s="8" t="s">
        <v>695</v>
      </c>
      <c r="R1" s="8" t="s">
        <v>696</v>
      </c>
      <c r="S1" s="8" t="s">
        <v>697</v>
      </c>
      <c r="T1" s="8" t="s">
        <v>698</v>
      </c>
      <c r="U1" s="8" t="s">
        <v>699</v>
      </c>
      <c r="V1" s="8" t="s">
        <v>700</v>
      </c>
    </row>
    <row r="2" customFormat="false" ht="15" hidden="false" customHeight="true" outlineLevel="0" collapsed="false">
      <c r="A2" s="9" t="str">
        <f aca="false">Access_Grants!A2</f>
        <v>AG-0001</v>
      </c>
      <c r="B2" s="9" t="str">
        <f aca="false">Access_Grants!B2</f>
        <v>E001</v>
      </c>
      <c r="C2" s="9" t="str">
        <f aca="false">Access_Grants!C2</f>
        <v>Sophia Chen</v>
      </c>
      <c r="D2" s="9" t="str">
        <f aca="false">Access_Grants!D2</f>
        <v>IT Operations</v>
      </c>
      <c r="E2" s="9" t="str">
        <f aca="false">Access_Grants!E2</f>
        <v>SYS-AD</v>
      </c>
      <c r="F2" s="9" t="str">
        <f aca="false">Access_Grants!F2</f>
        <v>R09</v>
      </c>
      <c r="G2" s="9" t="str">
        <f aca="false">Access_Grants!G2</f>
        <v>Standard Network User</v>
      </c>
      <c r="H2" s="9" t="str">
        <f aca="false">Access_Grants!H2</f>
        <v>Read</v>
      </c>
      <c r="I2" s="9" t="str">
        <f aca="false">Access_Grants!L2</f>
        <v>Active</v>
      </c>
      <c r="J2" s="10" t="n">
        <f aca="false">Access_Grants!I2</f>
        <v>45031</v>
      </c>
      <c r="K2" s="10" t="n">
        <f aca="false">IFERROR(INDEX(HR_Employees!$F$2:$F$51,MATCH(B2,HR_Employees!$A$2:$A$51,0)),"")</f>
        <v>0</v>
      </c>
      <c r="L2" s="10" t="str">
        <f aca="false">IF(Access_Grants!M2="","",Access_Grants!M2)</f>
        <v/>
      </c>
      <c r="M2" s="9" t="str">
        <f aca="false">IF(K2="","N/A - Active Employee",IF(OR(I2="Active",AND(L2&lt;&gt;"",L2&gt;K2+5)),"EXCEPTION: TERMINATED USER - ACCESS NOT REVOKED TIMELY","OK - Revoked Within SLA"))</f>
        <v>N/A - Active Employee</v>
      </c>
      <c r="N2" s="9" t="str">
        <f aca="false">Access_Grants!J2&amp;""</f>
        <v>MGR-02</v>
      </c>
      <c r="O2" s="9" t="str">
        <f aca="false">Access_Grants!K2&amp;""</f>
        <v>CHG-93136</v>
      </c>
      <c r="P2" s="9" t="str">
        <f aca="false">IF(OR(TRIM(N2)="",TRIM(O2)=""),"EXCEPTION: NO DOCUMENTED APPROVAL","OK - Approved")</f>
        <v>OK - Approved</v>
      </c>
      <c r="Q2" s="9" t="str">
        <f aca="false">IFERROR(INDEX(SoD_Conflict_Matrix!$D$2:$D$7,MATCH(F2,SoD_Conflict_Matrix!$B$2:$B$7,0)),IFERROR(INDEX(SoD_Conflict_Matrix!$B$2:$B$7,MATCH(F2,SoD_Conflict_Matrix!$D$2:$D$7,0)),""))</f>
        <v/>
      </c>
      <c r="R2" s="9" t="str">
        <f aca="false">IFERROR(INDEX(SoD_Conflict_Matrix!$E$2:$E$7,MATCH(F2,SoD_Conflict_Matrix!$B$2:$B$7,0)),IFERROR(INDEX(SoD_Conflict_Matrix!$C$2:$C$7,MATCH(F2,SoD_Conflict_Matrix!$D$2:$D$7,0)),""))</f>
        <v/>
      </c>
      <c r="S2" s="9" t="str">
        <f aca="false">IF(Q2="","No Conflict Rule Applies to This Role",IF(COUNTIFS(Access_Grants!$B$2:$B$175,B2,Access_Grants!$F$2:$F$175,Q2,Access_Grants!$L$2:$L$175,"Active")&gt;0,"EXCEPTION: SoD CONFLICT - ALSO HOLDS "&amp;R2,"OK - No Conflicting Role Held"))</f>
        <v>No Conflict Rule Applies to This Role</v>
      </c>
      <c r="T2" s="9" t="str">
        <f aca="false">IF(AND(H2="Admin",I2="Active"),IF(COUNTIFS(Recertifications!$B$2:$B$119,B2,Recertifications!$E$2:$E$119,F2,Recertifications!$K$2:$K$119,"&lt;&gt;")&gt;0,"OK - Recertified","EXCEPTION: PRIVILEGED ACCESS NEVER RECERTIFIED"),"N/A - Not Privileged")</f>
        <v>N/A - Not Privileged</v>
      </c>
      <c r="U2" s="9" t="str">
        <f aca="false">IF(OR(LEFT(M2,9)="EXCEPTION",LEFT(P2,9)="EXCEPTION",LEFT(S2,9)="EXCEPTION",LEFT(T2,9)="EXCEPTION"),"EXCEPTION","Clean")</f>
        <v>Clean</v>
      </c>
      <c r="V2" s="9" t="str">
        <f aca="false">IF(LEFT(M2,9)="EXCEPTION","Deprovisioning Control Gap",IF(LEFT(S2,9)="EXCEPTION","Segregation of Duties Conflict",IF(LEFT(P2,9)="EXCEPTION","Provisioning Approval Gap",IF(LEFT(T2,9)="EXCEPTION","Recertification Gap","N/A"))))</f>
        <v>N/A</v>
      </c>
    </row>
    <row r="3" customFormat="false" ht="15" hidden="false" customHeight="true" outlineLevel="0" collapsed="false">
      <c r="A3" s="9" t="str">
        <f aca="false">Access_Grants!A3</f>
        <v>AG-0002</v>
      </c>
      <c r="B3" s="9" t="str">
        <f aca="false">Access_Grants!B3</f>
        <v>E001</v>
      </c>
      <c r="C3" s="9" t="str">
        <f aca="false">Access_Grants!C3</f>
        <v>Sophia Chen</v>
      </c>
      <c r="D3" s="9" t="str">
        <f aca="false">Access_Grants!D3</f>
        <v>IT Operations</v>
      </c>
      <c r="E3" s="9" t="str">
        <f aca="false">Access_Grants!E3</f>
        <v>SYS-HRIS</v>
      </c>
      <c r="F3" s="9" t="str">
        <f aca="false">Access_Grants!F3</f>
        <v>R08</v>
      </c>
      <c r="G3" s="9" t="str">
        <f aca="false">Access_Grants!G3</f>
        <v>Employee Master Read-Only</v>
      </c>
      <c r="H3" s="9" t="str">
        <f aca="false">Access_Grants!H3</f>
        <v>Read</v>
      </c>
      <c r="I3" s="9" t="str">
        <f aca="false">Access_Grants!L3</f>
        <v>Active</v>
      </c>
      <c r="J3" s="10" t="n">
        <f aca="false">Access_Grants!I3</f>
        <v>44934</v>
      </c>
      <c r="K3" s="10" t="n">
        <f aca="false">IFERROR(INDEX(HR_Employees!$F$2:$F$51,MATCH(B3,HR_Employees!$A$2:$A$51,0)),"")</f>
        <v>0</v>
      </c>
      <c r="L3" s="10" t="str">
        <f aca="false">IF(Access_Grants!M3="","",Access_Grants!M3)</f>
        <v/>
      </c>
      <c r="M3" s="9" t="str">
        <f aca="false">IF(K3="","N/A - Active Employee",IF(OR(I3="Active",AND(L3&lt;&gt;"",L3&gt;K3+5)),"EXCEPTION: TERMINATED USER - ACCESS NOT REVOKED TIMELY","OK - Revoked Within SLA"))</f>
        <v>N/A - Active Employee</v>
      </c>
      <c r="N3" s="9" t="str">
        <f aca="false">Access_Grants!J3&amp;""</f>
        <v>MGR-06</v>
      </c>
      <c r="O3" s="9" t="str">
        <f aca="false">Access_Grants!K3&amp;""</f>
        <v>CHG-27146</v>
      </c>
      <c r="P3" s="9" t="str">
        <f aca="false">IF(OR(TRIM(N3)="",TRIM(O3)=""),"EXCEPTION: NO DOCUMENTED APPROVAL","OK - Approved")</f>
        <v>OK - Approved</v>
      </c>
      <c r="Q3" s="9" t="str">
        <f aca="false">IFERROR(INDEX(SoD_Conflict_Matrix!$D$2:$D$7,MATCH(F3,SoD_Conflict_Matrix!$B$2:$B$7,0)),IFERROR(INDEX(SoD_Conflict_Matrix!$B$2:$B$7,MATCH(F3,SoD_Conflict_Matrix!$D$2:$D$7,0)),""))</f>
        <v/>
      </c>
      <c r="R3" s="9" t="str">
        <f aca="false">IFERROR(INDEX(SoD_Conflict_Matrix!$E$2:$E$7,MATCH(F3,SoD_Conflict_Matrix!$B$2:$B$7,0)),IFERROR(INDEX(SoD_Conflict_Matrix!$C$2:$C$7,MATCH(F3,SoD_Conflict_Matrix!$D$2:$D$7,0)),""))</f>
        <v/>
      </c>
      <c r="S3" s="9" t="str">
        <f aca="false">IF(Q3="","No Conflict Rule Applies to This Role",IF(COUNTIFS(Access_Grants!$B$2:$B$175,B3,Access_Grants!$F$2:$F$175,Q3,Access_Grants!$L$2:$L$175,"Active")&gt;0,"EXCEPTION: SoD CONFLICT - ALSO HOLDS "&amp;R3,"OK - No Conflicting Role Held"))</f>
        <v>No Conflict Rule Applies to This Role</v>
      </c>
      <c r="T3" s="9" t="str">
        <f aca="false">IF(AND(H3="Admin",I3="Active"),IF(COUNTIFS(Recertifications!$B$2:$B$119,B3,Recertifications!$E$2:$E$119,F3,Recertifications!$K$2:$K$119,"&lt;&gt;")&gt;0,"OK - Recertified","EXCEPTION: PRIVILEGED ACCESS NEVER RECERTIFIED"),"N/A - Not Privileged")</f>
        <v>N/A - Not Privileged</v>
      </c>
      <c r="U3" s="9" t="str">
        <f aca="false">IF(OR(LEFT(M3,9)="EXCEPTION",LEFT(P3,9)="EXCEPTION",LEFT(S3,9)="EXCEPTION",LEFT(T3,9)="EXCEPTION"),"EXCEPTION","Clean")</f>
        <v>Clean</v>
      </c>
      <c r="V3" s="9" t="str">
        <f aca="false">IF(LEFT(M3,9)="EXCEPTION","Deprovisioning Control Gap",IF(LEFT(S3,9)="EXCEPTION","Segregation of Duties Conflict",IF(LEFT(P3,9)="EXCEPTION","Provisioning Approval Gap",IF(LEFT(T3,9)="EXCEPTION","Recertification Gap","N/A"))))</f>
        <v>N/A</v>
      </c>
    </row>
    <row r="4" customFormat="false" ht="15" hidden="false" customHeight="true" outlineLevel="0" collapsed="false">
      <c r="A4" s="9" t="str">
        <f aca="false">Access_Grants!A4</f>
        <v>AG-0003</v>
      </c>
      <c r="B4" s="9" t="str">
        <f aca="false">Access_Grants!B4</f>
        <v>E001</v>
      </c>
      <c r="C4" s="9" t="str">
        <f aca="false">Access_Grants!C4</f>
        <v>Sophia Chen</v>
      </c>
      <c r="D4" s="9" t="str">
        <f aca="false">Access_Grants!D4</f>
        <v>IT Operations</v>
      </c>
      <c r="E4" s="9" t="str">
        <f aca="false">Access_Grants!E4</f>
        <v>SYS-AD</v>
      </c>
      <c r="F4" s="9" t="str">
        <f aca="false">Access_Grants!F4</f>
        <v>R10</v>
      </c>
      <c r="G4" s="9" t="str">
        <f aca="false">Access_Grants!G4</f>
        <v>Domain Administrator</v>
      </c>
      <c r="H4" s="9" t="str">
        <f aca="false">Access_Grants!H4</f>
        <v>Admin</v>
      </c>
      <c r="I4" s="9" t="str">
        <f aca="false">Access_Grants!L4</f>
        <v>Active</v>
      </c>
      <c r="J4" s="10" t="n">
        <f aca="false">Access_Grants!I4</f>
        <v>45831</v>
      </c>
      <c r="K4" s="10" t="n">
        <f aca="false">IFERROR(INDEX(HR_Employees!$F$2:$F$51,MATCH(B4,HR_Employees!$A$2:$A$51,0)),"")</f>
        <v>0</v>
      </c>
      <c r="L4" s="10" t="str">
        <f aca="false">IF(Access_Grants!M4="","",Access_Grants!M4)</f>
        <v/>
      </c>
      <c r="M4" s="9" t="str">
        <f aca="false">IF(K4="","N/A - Active Employee",IF(OR(I4="Active",AND(L4&lt;&gt;"",L4&gt;K4+5)),"EXCEPTION: TERMINATED USER - ACCESS NOT REVOKED TIMELY","OK - Revoked Within SLA"))</f>
        <v>N/A - Active Employee</v>
      </c>
      <c r="N4" s="9" t="str">
        <f aca="false">Access_Grants!J4&amp;""</f>
        <v>MGR-09</v>
      </c>
      <c r="O4" s="9" t="str">
        <f aca="false">Access_Grants!K4&amp;""</f>
        <v>CHG-66057</v>
      </c>
      <c r="P4" s="9" t="str">
        <f aca="false">IF(OR(TRIM(N4)="",TRIM(O4)=""),"EXCEPTION: NO DOCUMENTED APPROVAL","OK - Approved")</f>
        <v>OK - Approved</v>
      </c>
      <c r="Q4" s="9" t="str">
        <f aca="false">IFERROR(INDEX(SoD_Conflict_Matrix!$D$2:$D$7,MATCH(F4,SoD_Conflict_Matrix!$B$2:$B$7,0)),IFERROR(INDEX(SoD_Conflict_Matrix!$B$2:$B$7,MATCH(F4,SoD_Conflict_Matrix!$D$2:$D$7,0)),""))</f>
        <v/>
      </c>
      <c r="R4" s="9" t="str">
        <f aca="false">IFERROR(INDEX(SoD_Conflict_Matrix!$E$2:$E$7,MATCH(F4,SoD_Conflict_Matrix!$B$2:$B$7,0)),IFERROR(INDEX(SoD_Conflict_Matrix!$C$2:$C$7,MATCH(F4,SoD_Conflict_Matrix!$D$2:$D$7,0)),""))</f>
        <v/>
      </c>
      <c r="S4" s="9" t="str">
        <f aca="false">IF(Q4="","No Conflict Rule Applies to This Role",IF(COUNTIFS(Access_Grants!$B$2:$B$175,B4,Access_Grants!$F$2:$F$175,Q4,Access_Grants!$L$2:$L$175,"Active")&gt;0,"EXCEPTION: SoD CONFLICT - ALSO HOLDS "&amp;R4,"OK - No Conflicting Role Held"))</f>
        <v>No Conflict Rule Applies to This Role</v>
      </c>
      <c r="T4" s="9" t="str">
        <f aca="false">IF(AND(H4="Admin",I4="Active"),IF(COUNTIFS(Recertifications!$B$2:$B$119,B4,Recertifications!$E$2:$E$119,F4,Recertifications!$K$2:$K$119,"&lt;&gt;")&gt;0,"OK - Recertified","EXCEPTION: PRIVILEGED ACCESS NEVER RECERTIFIED"),"N/A - Not Privileged")</f>
        <v>EXCEPTION: PRIVILEGED ACCESS NEVER RECERTIFIED</v>
      </c>
      <c r="U4" s="9" t="str">
        <f aca="false">IF(OR(LEFT(M4,9)="EXCEPTION",LEFT(P4,9)="EXCEPTION",LEFT(S4,9)="EXCEPTION",LEFT(T4,9)="EXCEPTION"),"EXCEPTION","Clean")</f>
        <v>EXCEPTION</v>
      </c>
      <c r="V4" s="9" t="str">
        <f aca="false">IF(LEFT(M4,9)="EXCEPTION","Deprovisioning Control Gap",IF(LEFT(S4,9)="EXCEPTION","Segregation of Duties Conflict",IF(LEFT(P4,9)="EXCEPTION","Provisioning Approval Gap",IF(LEFT(T4,9)="EXCEPTION","Recertification Gap","N/A"))))</f>
        <v>Recertification Gap</v>
      </c>
    </row>
    <row r="5" customFormat="false" ht="15" hidden="false" customHeight="true" outlineLevel="0" collapsed="false">
      <c r="A5" s="9" t="str">
        <f aca="false">Access_Grants!A5</f>
        <v>AG-0004</v>
      </c>
      <c r="B5" s="9" t="str">
        <f aca="false">Access_Grants!B5</f>
        <v>E002</v>
      </c>
      <c r="C5" s="9" t="str">
        <f aca="false">Access_Grants!C5</f>
        <v>Peter Okafor</v>
      </c>
      <c r="D5" s="9" t="str">
        <f aca="false">Access_Grants!D5</f>
        <v>HR</v>
      </c>
      <c r="E5" s="9" t="str">
        <f aca="false">Access_Grants!E5</f>
        <v>SYS-AD</v>
      </c>
      <c r="F5" s="9" t="str">
        <f aca="false">Access_Grants!F5</f>
        <v>R09</v>
      </c>
      <c r="G5" s="9" t="str">
        <f aca="false">Access_Grants!G5</f>
        <v>Standard Network User</v>
      </c>
      <c r="H5" s="9" t="str">
        <f aca="false">Access_Grants!H5</f>
        <v>Read</v>
      </c>
      <c r="I5" s="9" t="str">
        <f aca="false">Access_Grants!L5</f>
        <v>Revoked</v>
      </c>
      <c r="J5" s="10" t="n">
        <f aca="false">Access_Grants!I5</f>
        <v>44964</v>
      </c>
      <c r="K5" s="10" t="n">
        <f aca="false">IFERROR(INDEX(HR_Employees!$F$2:$F$51,MATCH(B5,HR_Employees!$A$2:$A$51,0)),"")</f>
        <v>45881</v>
      </c>
      <c r="L5" s="10" t="n">
        <f aca="false">IF(Access_Grants!M5="","",Access_Grants!M5)</f>
        <v>45882</v>
      </c>
      <c r="M5" s="9" t="str">
        <f aca="false">IF(K5="","N/A - Active Employee",IF(OR(I5="Active",AND(L5&lt;&gt;"",L5&gt;K5+5)),"EXCEPTION: TERMINATED USER - ACCESS NOT REVOKED TIMELY","OK - Revoked Within SLA"))</f>
        <v>OK - Revoked Within SLA</v>
      </c>
      <c r="N5" s="9" t="str">
        <f aca="false">Access_Grants!J5&amp;""</f>
        <v/>
      </c>
      <c r="O5" s="9" t="str">
        <f aca="false">Access_Grants!K5&amp;""</f>
        <v>CHG-26704</v>
      </c>
      <c r="P5" s="9" t="str">
        <f aca="false">IF(OR(TRIM(N5)="",TRIM(O5)=""),"EXCEPTION: NO DOCUMENTED APPROVAL","OK - Approved")</f>
        <v>EXCEPTION: NO DOCUMENTED APPROVAL</v>
      </c>
      <c r="Q5" s="9" t="str">
        <f aca="false">IFERROR(INDEX(SoD_Conflict_Matrix!$D$2:$D$7,MATCH(F5,SoD_Conflict_Matrix!$B$2:$B$7,0)),IFERROR(INDEX(SoD_Conflict_Matrix!$B$2:$B$7,MATCH(F5,SoD_Conflict_Matrix!$D$2:$D$7,0)),""))</f>
        <v/>
      </c>
      <c r="R5" s="9" t="str">
        <f aca="false">IFERROR(INDEX(SoD_Conflict_Matrix!$E$2:$E$7,MATCH(F5,SoD_Conflict_Matrix!$B$2:$B$7,0)),IFERROR(INDEX(SoD_Conflict_Matrix!$C$2:$C$7,MATCH(F5,SoD_Conflict_Matrix!$D$2:$D$7,0)),""))</f>
        <v/>
      </c>
      <c r="S5" s="9" t="str">
        <f aca="false">IF(Q5="","No Conflict Rule Applies to This Role",IF(COUNTIFS(Access_Grants!$B$2:$B$175,B5,Access_Grants!$F$2:$F$175,Q5,Access_Grants!$L$2:$L$175,"Active")&gt;0,"EXCEPTION: SoD CONFLICT - ALSO HOLDS "&amp;R5,"OK - No Conflicting Role Held"))</f>
        <v>No Conflict Rule Applies to This Role</v>
      </c>
      <c r="T5" s="9" t="str">
        <f aca="false">IF(AND(H5="Admin",I5="Active"),IF(COUNTIFS(Recertifications!$B$2:$B$119,B5,Recertifications!$E$2:$E$119,F5,Recertifications!$K$2:$K$119,"&lt;&gt;")&gt;0,"OK - Recertified","EXCEPTION: PRIVILEGED ACCESS NEVER RECERTIFIED"),"N/A - Not Privileged")</f>
        <v>N/A - Not Privileged</v>
      </c>
      <c r="U5" s="9" t="str">
        <f aca="false">IF(OR(LEFT(M5,9)="EXCEPTION",LEFT(P5,9)="EXCEPTION",LEFT(S5,9)="EXCEPTION",LEFT(T5,9)="EXCEPTION"),"EXCEPTION","Clean")</f>
        <v>EXCEPTION</v>
      </c>
      <c r="V5" s="9" t="str">
        <f aca="false">IF(LEFT(M5,9)="EXCEPTION","Deprovisioning Control Gap",IF(LEFT(S5,9)="EXCEPTION","Segregation of Duties Conflict",IF(LEFT(P5,9)="EXCEPTION","Provisioning Approval Gap",IF(LEFT(T5,9)="EXCEPTION","Recertification Gap","N/A"))))</f>
        <v>Provisioning Approval Gap</v>
      </c>
    </row>
    <row r="6" customFormat="false" ht="15" hidden="false" customHeight="true" outlineLevel="0" collapsed="false">
      <c r="A6" s="9" t="str">
        <f aca="false">Access_Grants!A6</f>
        <v>AG-0005</v>
      </c>
      <c r="B6" s="9" t="str">
        <f aca="false">Access_Grants!B6</f>
        <v>E002</v>
      </c>
      <c r="C6" s="9" t="str">
        <f aca="false">Access_Grants!C6</f>
        <v>Peter Okafor</v>
      </c>
      <c r="D6" s="9" t="str">
        <f aca="false">Access_Grants!D6</f>
        <v>HR</v>
      </c>
      <c r="E6" s="9" t="str">
        <f aca="false">Access_Grants!E6</f>
        <v>SYS-HRIS</v>
      </c>
      <c r="F6" s="9" t="str">
        <f aca="false">Access_Grants!F6</f>
        <v>R07</v>
      </c>
      <c r="G6" s="9" t="str">
        <f aca="false">Access_Grants!G6</f>
        <v>Payroll Approval / Release</v>
      </c>
      <c r="H6" s="9" t="str">
        <f aca="false">Access_Grants!H6</f>
        <v>Admin</v>
      </c>
      <c r="I6" s="9" t="str">
        <f aca="false">Access_Grants!L6</f>
        <v>Active</v>
      </c>
      <c r="J6" s="10" t="n">
        <f aca="false">Access_Grants!I6</f>
        <v>45018</v>
      </c>
      <c r="K6" s="10" t="n">
        <f aca="false">IFERROR(INDEX(HR_Employees!$F$2:$F$51,MATCH(B6,HR_Employees!$A$2:$A$51,0)),"")</f>
        <v>45881</v>
      </c>
      <c r="L6" s="10" t="str">
        <f aca="false">IF(Access_Grants!M6="","",Access_Grants!M6)</f>
        <v/>
      </c>
      <c r="M6" s="9" t="str">
        <f aca="false">IF(K6="","N/A - Active Employee",IF(OR(I6="Active",AND(L6&lt;&gt;"",L6&gt;K6+5)),"EXCEPTION: TERMINATED USER - ACCESS NOT REVOKED TIMELY","OK - Revoked Within SLA"))</f>
        <v>EXCEPTION: TERMINATED USER - ACCESS NOT REVOKED TIMELY</v>
      </c>
      <c r="N6" s="9" t="str">
        <f aca="false">Access_Grants!J6&amp;""</f>
        <v>MGR-04</v>
      </c>
      <c r="O6" s="9" t="str">
        <f aca="false">Access_Grants!K6&amp;""</f>
        <v>CHG-99399</v>
      </c>
      <c r="P6" s="9" t="str">
        <f aca="false">IF(OR(TRIM(N6)="",TRIM(O6)=""),"EXCEPTION: NO DOCUMENTED APPROVAL","OK - Approved")</f>
        <v>OK - Approved</v>
      </c>
      <c r="Q6" s="9" t="str">
        <f aca="false">IFERROR(INDEX(SoD_Conflict_Matrix!$D$2:$D$7,MATCH(F6,SoD_Conflict_Matrix!$B$2:$B$7,0)),IFERROR(INDEX(SoD_Conflict_Matrix!$B$2:$B$7,MATCH(F6,SoD_Conflict_Matrix!$D$2:$D$7,0)),""))</f>
        <v>R06</v>
      </c>
      <c r="R6" s="9" t="str">
        <f aca="false">IFERROR(INDEX(SoD_Conflict_Matrix!$E$2:$E$7,MATCH(F6,SoD_Conflict_Matrix!$B$2:$B$7,0)),IFERROR(INDEX(SoD_Conflict_Matrix!$C$2:$C$7,MATCH(F6,SoD_Conflict_Matrix!$D$2:$D$7,0)),""))</f>
        <v>Payroll Data Entry</v>
      </c>
      <c r="S6" s="9" t="str">
        <f aca="false">IF(Q6="","No Conflict Rule Applies to This Role",IF(COUNTIFS(Access_Grants!$B$2:$B$175,B6,Access_Grants!$F$2:$F$175,Q6,Access_Grants!$L$2:$L$175,"Active")&gt;0,"EXCEPTION: SoD CONFLICT - ALSO HOLDS "&amp;R6,"OK - No Conflicting Role Held"))</f>
        <v>OK - No Conflicting Role Held</v>
      </c>
      <c r="T6" s="9" t="str">
        <f aca="false">IF(AND(H6="Admin",I6="Active"),IF(COUNTIFS(Recertifications!$B$2:$B$119,B6,Recertifications!$E$2:$E$119,F6,Recertifications!$K$2:$K$119,"&lt;&gt;")&gt;0,"OK - Recertified","EXCEPTION: PRIVILEGED ACCESS NEVER RECERTIFIED"),"N/A - Not Privileged")</f>
        <v>OK - Recertified</v>
      </c>
      <c r="U6" s="9" t="str">
        <f aca="false">IF(OR(LEFT(M6,9)="EXCEPTION",LEFT(P6,9)="EXCEPTION",LEFT(S6,9)="EXCEPTION",LEFT(T6,9)="EXCEPTION"),"EXCEPTION","Clean")</f>
        <v>EXCEPTION</v>
      </c>
      <c r="V6" s="9" t="str">
        <f aca="false">IF(LEFT(M6,9)="EXCEPTION","Deprovisioning Control Gap",IF(LEFT(S6,9)="EXCEPTION","Segregation of Duties Conflict",IF(LEFT(P6,9)="EXCEPTION","Provisioning Approval Gap",IF(LEFT(T6,9)="EXCEPTION","Recertification Gap","N/A"))))</f>
        <v>Deprovisioning Control Gap</v>
      </c>
    </row>
    <row r="7" customFormat="false" ht="15" hidden="false" customHeight="true" outlineLevel="0" collapsed="false">
      <c r="A7" s="9" t="str">
        <f aca="false">Access_Grants!A7</f>
        <v>AG-0006</v>
      </c>
      <c r="B7" s="9" t="str">
        <f aca="false">Access_Grants!B7</f>
        <v>E002</v>
      </c>
      <c r="C7" s="9" t="str">
        <f aca="false">Access_Grants!C7</f>
        <v>Peter Okafor</v>
      </c>
      <c r="D7" s="9" t="str">
        <f aca="false">Access_Grants!D7</f>
        <v>HR</v>
      </c>
      <c r="E7" s="9" t="str">
        <f aca="false">Access_Grants!E7</f>
        <v>SYS-HRIS</v>
      </c>
      <c r="F7" s="9" t="str">
        <f aca="false">Access_Grants!F7</f>
        <v>R06</v>
      </c>
      <c r="G7" s="9" t="str">
        <f aca="false">Access_Grants!G7</f>
        <v>Payroll Data Entry</v>
      </c>
      <c r="H7" s="9" t="str">
        <f aca="false">Access_Grants!H7</f>
        <v>Write</v>
      </c>
      <c r="I7" s="9" t="str">
        <f aca="false">Access_Grants!L7</f>
        <v>Revoked</v>
      </c>
      <c r="J7" s="10" t="n">
        <f aca="false">Access_Grants!I7</f>
        <v>45070</v>
      </c>
      <c r="K7" s="10" t="n">
        <f aca="false">IFERROR(INDEX(HR_Employees!$F$2:$F$51,MATCH(B7,HR_Employees!$A$2:$A$51,0)),"")</f>
        <v>45881</v>
      </c>
      <c r="L7" s="10" t="n">
        <f aca="false">IF(Access_Grants!M7="","",Access_Grants!M7)</f>
        <v>45883</v>
      </c>
      <c r="M7" s="9" t="str">
        <f aca="false">IF(K7="","N/A - Active Employee",IF(OR(I7="Active",AND(L7&lt;&gt;"",L7&gt;K7+5)),"EXCEPTION: TERMINATED USER - ACCESS NOT REVOKED TIMELY","OK - Revoked Within SLA"))</f>
        <v>OK - Revoked Within SLA</v>
      </c>
      <c r="N7" s="9" t="str">
        <f aca="false">Access_Grants!J7&amp;""</f>
        <v>MGR-07</v>
      </c>
      <c r="O7" s="9" t="str">
        <f aca="false">Access_Grants!K7&amp;""</f>
        <v>CHG-91351</v>
      </c>
      <c r="P7" s="9" t="str">
        <f aca="false">IF(OR(TRIM(N7)="",TRIM(O7)=""),"EXCEPTION: NO DOCUMENTED APPROVAL","OK - Approved")</f>
        <v>OK - Approved</v>
      </c>
      <c r="Q7" s="9" t="str">
        <f aca="false">IFERROR(INDEX(SoD_Conflict_Matrix!$D$2:$D$7,MATCH(F7,SoD_Conflict_Matrix!$B$2:$B$7,0)),IFERROR(INDEX(SoD_Conflict_Matrix!$B$2:$B$7,MATCH(F7,SoD_Conflict_Matrix!$D$2:$D$7,0)),""))</f>
        <v>R07</v>
      </c>
      <c r="R7" s="9" t="str">
        <f aca="false">IFERROR(INDEX(SoD_Conflict_Matrix!$E$2:$E$7,MATCH(F7,SoD_Conflict_Matrix!$B$2:$B$7,0)),IFERROR(INDEX(SoD_Conflict_Matrix!$C$2:$C$7,MATCH(F7,SoD_Conflict_Matrix!$D$2:$D$7,0)),""))</f>
        <v>Payroll Approval / Release</v>
      </c>
      <c r="S7" s="9" t="str">
        <f aca="false">IF(Q7="","No Conflict Rule Applies to This Role",IF(COUNTIFS(Access_Grants!$B$2:$B$175,B7,Access_Grants!$F$2:$F$175,Q7,Access_Grants!$L$2:$L$175,"Active")&gt;0,"EXCEPTION: SoD CONFLICT - ALSO HOLDS "&amp;R7,"OK - No Conflicting Role Held"))</f>
        <v>EXCEPTION: SoD CONFLICT - ALSO HOLDS Payroll Approval / Release</v>
      </c>
      <c r="T7" s="9" t="str">
        <f aca="false">IF(AND(H7="Admin",I7="Active"),IF(COUNTIFS(Recertifications!$B$2:$B$119,B7,Recertifications!$E$2:$E$119,F7,Recertifications!$K$2:$K$119,"&lt;&gt;")&gt;0,"OK - Recertified","EXCEPTION: PRIVILEGED ACCESS NEVER RECERTIFIED"),"N/A - Not Privileged")</f>
        <v>N/A - Not Privileged</v>
      </c>
      <c r="U7" s="9" t="str">
        <f aca="false">IF(OR(LEFT(M7,9)="EXCEPTION",LEFT(P7,9)="EXCEPTION",LEFT(S7,9)="EXCEPTION",LEFT(T7,9)="EXCEPTION"),"EXCEPTION","Clean")</f>
        <v>EXCEPTION</v>
      </c>
      <c r="V7" s="9" t="str">
        <f aca="false">IF(LEFT(M7,9)="EXCEPTION","Deprovisioning Control Gap",IF(LEFT(S7,9)="EXCEPTION","Segregation of Duties Conflict",IF(LEFT(P7,9)="EXCEPTION","Provisioning Approval Gap",IF(LEFT(T7,9)="EXCEPTION","Recertification Gap","N/A"))))</f>
        <v>Segregation of Duties Conflict</v>
      </c>
    </row>
    <row r="8" customFormat="false" ht="15" hidden="false" customHeight="true" outlineLevel="0" collapsed="false">
      <c r="A8" s="9" t="str">
        <f aca="false">Access_Grants!A8</f>
        <v>AG-0007</v>
      </c>
      <c r="B8" s="9" t="str">
        <f aca="false">Access_Grants!B8</f>
        <v>E002</v>
      </c>
      <c r="C8" s="9" t="str">
        <f aca="false">Access_Grants!C8</f>
        <v>Peter Okafor</v>
      </c>
      <c r="D8" s="9" t="str">
        <f aca="false">Access_Grants!D8</f>
        <v>HR</v>
      </c>
      <c r="E8" s="9" t="str">
        <f aca="false">Access_Grants!E8</f>
        <v>SYS-HRIS</v>
      </c>
      <c r="F8" s="9" t="str">
        <f aca="false">Access_Grants!F8</f>
        <v>R08</v>
      </c>
      <c r="G8" s="9" t="str">
        <f aca="false">Access_Grants!G8</f>
        <v>Employee Master Read-Only</v>
      </c>
      <c r="H8" s="9" t="str">
        <f aca="false">Access_Grants!H8</f>
        <v>Read</v>
      </c>
      <c r="I8" s="9" t="str">
        <f aca="false">Access_Grants!L8</f>
        <v>Active</v>
      </c>
      <c r="J8" s="10" t="n">
        <f aca="false">Access_Grants!I8</f>
        <v>44968</v>
      </c>
      <c r="K8" s="10" t="n">
        <f aca="false">IFERROR(INDEX(HR_Employees!$F$2:$F$51,MATCH(B8,HR_Employees!$A$2:$A$51,0)),"")</f>
        <v>45881</v>
      </c>
      <c r="L8" s="10" t="str">
        <f aca="false">IF(Access_Grants!M8="","",Access_Grants!M8)</f>
        <v/>
      </c>
      <c r="M8" s="9" t="str">
        <f aca="false">IF(K8="","N/A - Active Employee",IF(OR(I8="Active",AND(L8&lt;&gt;"",L8&gt;K8+5)),"EXCEPTION: TERMINATED USER - ACCESS NOT REVOKED TIMELY","OK - Revoked Within SLA"))</f>
        <v>EXCEPTION: TERMINATED USER - ACCESS NOT REVOKED TIMELY</v>
      </c>
      <c r="N8" s="9" t="str">
        <f aca="false">Access_Grants!J8&amp;""</f>
        <v>MGR-03</v>
      </c>
      <c r="O8" s="9" t="str">
        <f aca="false">Access_Grants!K8&amp;""</f>
        <v/>
      </c>
      <c r="P8" s="9" t="str">
        <f aca="false">IF(OR(TRIM(N8)="",TRIM(O8)=""),"EXCEPTION: NO DOCUMENTED APPROVAL","OK - Approved")</f>
        <v>EXCEPTION: NO DOCUMENTED APPROVAL</v>
      </c>
      <c r="Q8" s="9" t="str">
        <f aca="false">IFERROR(INDEX(SoD_Conflict_Matrix!$D$2:$D$7,MATCH(F8,SoD_Conflict_Matrix!$B$2:$B$7,0)),IFERROR(INDEX(SoD_Conflict_Matrix!$B$2:$B$7,MATCH(F8,SoD_Conflict_Matrix!$D$2:$D$7,0)),""))</f>
        <v/>
      </c>
      <c r="R8" s="9" t="str">
        <f aca="false">IFERROR(INDEX(SoD_Conflict_Matrix!$E$2:$E$7,MATCH(F8,SoD_Conflict_Matrix!$B$2:$B$7,0)),IFERROR(INDEX(SoD_Conflict_Matrix!$C$2:$C$7,MATCH(F8,SoD_Conflict_Matrix!$D$2:$D$7,0)),""))</f>
        <v/>
      </c>
      <c r="S8" s="9" t="str">
        <f aca="false">IF(Q8="","No Conflict Rule Applies to This Role",IF(COUNTIFS(Access_Grants!$B$2:$B$175,B8,Access_Grants!$F$2:$F$175,Q8,Access_Grants!$L$2:$L$175,"Active")&gt;0,"EXCEPTION: SoD CONFLICT - ALSO HOLDS "&amp;R8,"OK - No Conflicting Role Held"))</f>
        <v>No Conflict Rule Applies to This Role</v>
      </c>
      <c r="T8" s="9" t="str">
        <f aca="false">IF(AND(H8="Admin",I8="Active"),IF(COUNTIFS(Recertifications!$B$2:$B$119,B8,Recertifications!$E$2:$E$119,F8,Recertifications!$K$2:$K$119,"&lt;&gt;")&gt;0,"OK - Recertified","EXCEPTION: PRIVILEGED ACCESS NEVER RECERTIFIED"),"N/A - Not Privileged")</f>
        <v>N/A - Not Privileged</v>
      </c>
      <c r="U8" s="9" t="str">
        <f aca="false">IF(OR(LEFT(M8,9)="EXCEPTION",LEFT(P8,9)="EXCEPTION",LEFT(S8,9)="EXCEPTION",LEFT(T8,9)="EXCEPTION"),"EXCEPTION","Clean")</f>
        <v>EXCEPTION</v>
      </c>
      <c r="V8" s="9" t="str">
        <f aca="false">IF(LEFT(M8,9)="EXCEPTION","Deprovisioning Control Gap",IF(LEFT(S8,9)="EXCEPTION","Segregation of Duties Conflict",IF(LEFT(P8,9)="EXCEPTION","Provisioning Approval Gap",IF(LEFT(T8,9)="EXCEPTION","Recertification Gap","N/A"))))</f>
        <v>Deprovisioning Control Gap</v>
      </c>
    </row>
    <row r="9" customFormat="false" ht="15" hidden="false" customHeight="true" outlineLevel="0" collapsed="false">
      <c r="A9" s="9" t="str">
        <f aca="false">Access_Grants!A9</f>
        <v>AG-0008</v>
      </c>
      <c r="B9" s="9" t="str">
        <f aca="false">Access_Grants!B9</f>
        <v>E003</v>
      </c>
      <c r="C9" s="9" t="str">
        <f aca="false">Access_Grants!C9</f>
        <v>Youssef Chen</v>
      </c>
      <c r="D9" s="9" t="str">
        <f aca="false">Access_Grants!D9</f>
        <v>Procurement</v>
      </c>
      <c r="E9" s="9" t="str">
        <f aca="false">Access_Grants!E9</f>
        <v>SYS-AD</v>
      </c>
      <c r="F9" s="9" t="str">
        <f aca="false">Access_Grants!F9</f>
        <v>R09</v>
      </c>
      <c r="G9" s="9" t="str">
        <f aca="false">Access_Grants!G9</f>
        <v>Standard Network User</v>
      </c>
      <c r="H9" s="9" t="str">
        <f aca="false">Access_Grants!H9</f>
        <v>Read</v>
      </c>
      <c r="I9" s="9" t="str">
        <f aca="false">Access_Grants!L9</f>
        <v>Active</v>
      </c>
      <c r="J9" s="10" t="n">
        <f aca="false">Access_Grants!I9</f>
        <v>45037</v>
      </c>
      <c r="K9" s="10" t="n">
        <f aca="false">IFERROR(INDEX(HR_Employees!$F$2:$F$51,MATCH(B9,HR_Employees!$A$2:$A$51,0)),"")</f>
        <v>0</v>
      </c>
      <c r="L9" s="10" t="str">
        <f aca="false">IF(Access_Grants!M9="","",Access_Grants!M9)</f>
        <v/>
      </c>
      <c r="M9" s="9" t="str">
        <f aca="false">IF(K9="","N/A - Active Employee",IF(OR(I9="Active",AND(L9&lt;&gt;"",L9&gt;K9+5)),"EXCEPTION: TERMINATED USER - ACCESS NOT REVOKED TIMELY","OK - Revoked Within SLA"))</f>
        <v>N/A - Active Employee</v>
      </c>
      <c r="N9" s="9" t="str">
        <f aca="false">Access_Grants!J9&amp;""</f>
        <v>MGR-07</v>
      </c>
      <c r="O9" s="9" t="str">
        <f aca="false">Access_Grants!K9&amp;""</f>
        <v>CHG-15075</v>
      </c>
      <c r="P9" s="9" t="str">
        <f aca="false">IF(OR(TRIM(N9)="",TRIM(O9)=""),"EXCEPTION: NO DOCUMENTED APPROVAL","OK - Approved")</f>
        <v>OK - Approved</v>
      </c>
      <c r="Q9" s="9" t="str">
        <f aca="false">IFERROR(INDEX(SoD_Conflict_Matrix!$D$2:$D$7,MATCH(F9,SoD_Conflict_Matrix!$B$2:$B$7,0)),IFERROR(INDEX(SoD_Conflict_Matrix!$B$2:$B$7,MATCH(F9,SoD_Conflict_Matrix!$D$2:$D$7,0)),""))</f>
        <v/>
      </c>
      <c r="R9" s="9" t="str">
        <f aca="false">IFERROR(INDEX(SoD_Conflict_Matrix!$E$2:$E$7,MATCH(F9,SoD_Conflict_Matrix!$B$2:$B$7,0)),IFERROR(INDEX(SoD_Conflict_Matrix!$C$2:$C$7,MATCH(F9,SoD_Conflict_Matrix!$D$2:$D$7,0)),""))</f>
        <v/>
      </c>
      <c r="S9" s="9" t="str">
        <f aca="false">IF(Q9="","No Conflict Rule Applies to This Role",IF(COUNTIFS(Access_Grants!$B$2:$B$175,B9,Access_Grants!$F$2:$F$175,Q9,Access_Grants!$L$2:$L$175,"Active")&gt;0,"EXCEPTION: SoD CONFLICT - ALSO HOLDS "&amp;R9,"OK - No Conflicting Role Held"))</f>
        <v>No Conflict Rule Applies to This Role</v>
      </c>
      <c r="T9" s="9" t="str">
        <f aca="false">IF(AND(H9="Admin",I9="Active"),IF(COUNTIFS(Recertifications!$B$2:$B$119,B9,Recertifications!$E$2:$E$119,F9,Recertifications!$K$2:$K$119,"&lt;&gt;")&gt;0,"OK - Recertified","EXCEPTION: PRIVILEGED ACCESS NEVER RECERTIFIED"),"N/A - Not Privileged")</f>
        <v>N/A - Not Privileged</v>
      </c>
      <c r="U9" s="9" t="str">
        <f aca="false">IF(OR(LEFT(M9,9)="EXCEPTION",LEFT(P9,9)="EXCEPTION",LEFT(S9,9)="EXCEPTION",LEFT(T9,9)="EXCEPTION"),"EXCEPTION","Clean")</f>
        <v>Clean</v>
      </c>
      <c r="V9" s="9" t="str">
        <f aca="false">IF(LEFT(M9,9)="EXCEPTION","Deprovisioning Control Gap",IF(LEFT(S9,9)="EXCEPTION","Segregation of Duties Conflict",IF(LEFT(P9,9)="EXCEPTION","Provisioning Approval Gap",IF(LEFT(T9,9)="EXCEPTION","Recertification Gap","N/A"))))</f>
        <v>N/A</v>
      </c>
    </row>
    <row r="10" customFormat="false" ht="15" hidden="false" customHeight="true" outlineLevel="0" collapsed="false">
      <c r="A10" s="9" t="str">
        <f aca="false">Access_Grants!A10</f>
        <v>AG-0009</v>
      </c>
      <c r="B10" s="9" t="str">
        <f aca="false">Access_Grants!B10</f>
        <v>E003</v>
      </c>
      <c r="C10" s="9" t="str">
        <f aca="false">Access_Grants!C10</f>
        <v>Youssef Chen</v>
      </c>
      <c r="D10" s="9" t="str">
        <f aca="false">Access_Grants!D10</f>
        <v>Procurement</v>
      </c>
      <c r="E10" s="9" t="str">
        <f aca="false">Access_Grants!E10</f>
        <v>SYS-ERP</v>
      </c>
      <c r="F10" s="9" t="str">
        <f aca="false">Access_Grants!F10</f>
        <v>R03</v>
      </c>
      <c r="G10" s="9" t="str">
        <f aca="false">Access_Grants!G10</f>
        <v>Vendor Master Maintenance</v>
      </c>
      <c r="H10" s="9" t="str">
        <f aca="false">Access_Grants!H10</f>
        <v>Write</v>
      </c>
      <c r="I10" s="9" t="str">
        <f aca="false">Access_Grants!L10</f>
        <v>Active</v>
      </c>
      <c r="J10" s="10" t="n">
        <f aca="false">Access_Grants!I10</f>
        <v>45763</v>
      </c>
      <c r="K10" s="10" t="n">
        <f aca="false">IFERROR(INDEX(HR_Employees!$F$2:$F$51,MATCH(B10,HR_Employees!$A$2:$A$51,0)),"")</f>
        <v>0</v>
      </c>
      <c r="L10" s="10" t="str">
        <f aca="false">IF(Access_Grants!M10="","",Access_Grants!M10)</f>
        <v/>
      </c>
      <c r="M10" s="9" t="str">
        <f aca="false">IF(K10="","N/A - Active Employee",IF(OR(I10="Active",AND(L10&lt;&gt;"",L10&gt;K10+5)),"EXCEPTION: TERMINATED USER - ACCESS NOT REVOKED TIMELY","OK - Revoked Within SLA"))</f>
        <v>N/A - Active Employee</v>
      </c>
      <c r="N10" s="9" t="str">
        <f aca="false">Access_Grants!J10&amp;""</f>
        <v>MGR-08</v>
      </c>
      <c r="O10" s="9" t="str">
        <f aca="false">Access_Grants!K10&amp;""</f>
        <v>CHG-55830</v>
      </c>
      <c r="P10" s="9" t="str">
        <f aca="false">IF(OR(TRIM(N10)="",TRIM(O10)=""),"EXCEPTION: NO DOCUMENTED APPROVAL","OK - Approved")</f>
        <v>OK - Approved</v>
      </c>
      <c r="Q10" s="9" t="str">
        <f aca="false">IFERROR(INDEX(SoD_Conflict_Matrix!$D$2:$D$7,MATCH(F10,SoD_Conflict_Matrix!$B$2:$B$7,0)),IFERROR(INDEX(SoD_Conflict_Matrix!$B$2:$B$7,MATCH(F10,SoD_Conflict_Matrix!$D$2:$D$7,0)),""))</f>
        <v>R02</v>
      </c>
      <c r="R10" s="9" t="str">
        <f aca="false">IFERROR(INDEX(SoD_Conflict_Matrix!$E$2:$E$7,MATCH(F10,SoD_Conflict_Matrix!$B$2:$B$7,0)),IFERROR(INDEX(SoD_Conflict_Matrix!$C$2:$C$7,MATCH(F10,SoD_Conflict_Matrix!$D$2:$D$7,0)),""))</f>
        <v>AP Payment Approval</v>
      </c>
      <c r="S10" s="9" t="str">
        <f aca="false">IF(Q10="","No Conflict Rule Applies to This Role",IF(COUNTIFS(Access_Grants!$B$2:$B$175,B10,Access_Grants!$F$2:$F$175,Q10,Access_Grants!$L$2:$L$175,"Active")&gt;0,"EXCEPTION: SoD CONFLICT - ALSO HOLDS "&amp;R10,"OK - No Conflicting Role Held"))</f>
        <v>OK - No Conflicting Role Held</v>
      </c>
      <c r="T10" s="9" t="str">
        <f aca="false">IF(AND(H10="Admin",I10="Active"),IF(COUNTIFS(Recertifications!$B$2:$B$119,B10,Recertifications!$E$2:$E$119,F10,Recertifications!$K$2:$K$119,"&lt;&gt;")&gt;0,"OK - Recertified","EXCEPTION: PRIVILEGED ACCESS NEVER RECERTIFIED"),"N/A - Not Privileged")</f>
        <v>N/A - Not Privileged</v>
      </c>
      <c r="U10" s="9" t="str">
        <f aca="false">IF(OR(LEFT(M10,9)="EXCEPTION",LEFT(P10,9)="EXCEPTION",LEFT(S10,9)="EXCEPTION",LEFT(T10,9)="EXCEPTION"),"EXCEPTION","Clean")</f>
        <v>Clean</v>
      </c>
      <c r="V10" s="9" t="str">
        <f aca="false">IF(LEFT(M10,9)="EXCEPTION","Deprovisioning Control Gap",IF(LEFT(S10,9)="EXCEPTION","Segregation of Duties Conflict",IF(LEFT(P10,9)="EXCEPTION","Provisioning Approval Gap",IF(LEFT(T10,9)="EXCEPTION","Recertification Gap","N/A"))))</f>
        <v>N/A</v>
      </c>
    </row>
    <row r="11" customFormat="false" ht="15" hidden="false" customHeight="true" outlineLevel="0" collapsed="false">
      <c r="A11" s="9" t="str">
        <f aca="false">Access_Grants!A11</f>
        <v>AG-0010</v>
      </c>
      <c r="B11" s="9" t="str">
        <f aca="false">Access_Grants!B11</f>
        <v>E003</v>
      </c>
      <c r="C11" s="9" t="str">
        <f aca="false">Access_Grants!C11</f>
        <v>Youssef Chen</v>
      </c>
      <c r="D11" s="9" t="str">
        <f aca="false">Access_Grants!D11</f>
        <v>Procurement</v>
      </c>
      <c r="E11" s="9" t="str">
        <f aca="false">Access_Grants!E11</f>
        <v>SYS-ERP</v>
      </c>
      <c r="F11" s="9" t="str">
        <f aca="false">Access_Grants!F11</f>
        <v>R01</v>
      </c>
      <c r="G11" s="9" t="str">
        <f aca="false">Access_Grants!G11</f>
        <v>AP Invoice Entry</v>
      </c>
      <c r="H11" s="9" t="str">
        <f aca="false">Access_Grants!H11</f>
        <v>Write</v>
      </c>
      <c r="I11" s="9" t="str">
        <f aca="false">Access_Grants!L11</f>
        <v>Active</v>
      </c>
      <c r="J11" s="10" t="n">
        <f aca="false">Access_Grants!I11</f>
        <v>45160</v>
      </c>
      <c r="K11" s="10" t="n">
        <f aca="false">IFERROR(INDEX(HR_Employees!$F$2:$F$51,MATCH(B11,HR_Employees!$A$2:$A$51,0)),"")</f>
        <v>0</v>
      </c>
      <c r="L11" s="10" t="str">
        <f aca="false">IF(Access_Grants!M11="","",Access_Grants!M11)</f>
        <v/>
      </c>
      <c r="M11" s="9" t="str">
        <f aca="false">IF(K11="","N/A - Active Employee",IF(OR(I11="Active",AND(L11&lt;&gt;"",L11&gt;K11+5)),"EXCEPTION: TERMINATED USER - ACCESS NOT REVOKED TIMELY","OK - Revoked Within SLA"))</f>
        <v>N/A - Active Employee</v>
      </c>
      <c r="N11" s="9" t="str">
        <f aca="false">Access_Grants!J11&amp;""</f>
        <v>MGR-04</v>
      </c>
      <c r="O11" s="9" t="str">
        <f aca="false">Access_Grants!K11&amp;""</f>
        <v>CHG-13101</v>
      </c>
      <c r="P11" s="9" t="str">
        <f aca="false">IF(OR(TRIM(N11)="",TRIM(O11)=""),"EXCEPTION: NO DOCUMENTED APPROVAL","OK - Approved")</f>
        <v>OK - Approved</v>
      </c>
      <c r="Q11" s="9" t="str">
        <f aca="false">IFERROR(INDEX(SoD_Conflict_Matrix!$D$2:$D$7,MATCH(F11,SoD_Conflict_Matrix!$B$2:$B$7,0)),IFERROR(INDEX(SoD_Conflict_Matrix!$B$2:$B$7,MATCH(F11,SoD_Conflict_Matrix!$D$2:$D$7,0)),""))</f>
        <v>R02</v>
      </c>
      <c r="R11" s="9" t="str">
        <f aca="false">IFERROR(INDEX(SoD_Conflict_Matrix!$E$2:$E$7,MATCH(F11,SoD_Conflict_Matrix!$B$2:$B$7,0)),IFERROR(INDEX(SoD_Conflict_Matrix!$C$2:$C$7,MATCH(F11,SoD_Conflict_Matrix!$D$2:$D$7,0)),""))</f>
        <v>AP Payment Approval</v>
      </c>
      <c r="S11" s="9" t="str">
        <f aca="false">IF(Q11="","No Conflict Rule Applies to This Role",IF(COUNTIFS(Access_Grants!$B$2:$B$175,B11,Access_Grants!$F$2:$F$175,Q11,Access_Grants!$L$2:$L$175,"Active")&gt;0,"EXCEPTION: SoD CONFLICT - ALSO HOLDS "&amp;R11,"OK - No Conflicting Role Held"))</f>
        <v>OK - No Conflicting Role Held</v>
      </c>
      <c r="T11" s="9" t="str">
        <f aca="false">IF(AND(H11="Admin",I11="Active"),IF(COUNTIFS(Recertifications!$B$2:$B$119,B11,Recertifications!$E$2:$E$119,F11,Recertifications!$K$2:$K$119,"&lt;&gt;")&gt;0,"OK - Recertified","EXCEPTION: PRIVILEGED ACCESS NEVER RECERTIFIED"),"N/A - Not Privileged")</f>
        <v>N/A - Not Privileged</v>
      </c>
      <c r="U11" s="9" t="str">
        <f aca="false">IF(OR(LEFT(M11,9)="EXCEPTION",LEFT(P11,9)="EXCEPTION",LEFT(S11,9)="EXCEPTION",LEFT(T11,9)="EXCEPTION"),"EXCEPTION","Clean")</f>
        <v>Clean</v>
      </c>
      <c r="V11" s="9" t="str">
        <f aca="false">IF(LEFT(M11,9)="EXCEPTION","Deprovisioning Control Gap",IF(LEFT(S11,9)="EXCEPTION","Segregation of Duties Conflict",IF(LEFT(P11,9)="EXCEPTION","Provisioning Approval Gap",IF(LEFT(T11,9)="EXCEPTION","Recertification Gap","N/A"))))</f>
        <v>N/A</v>
      </c>
    </row>
    <row r="12" customFormat="false" ht="15" hidden="false" customHeight="true" outlineLevel="0" collapsed="false">
      <c r="A12" s="9" t="str">
        <f aca="false">Access_Grants!A12</f>
        <v>AG-0011</v>
      </c>
      <c r="B12" s="9" t="str">
        <f aca="false">Access_Grants!B12</f>
        <v>E004</v>
      </c>
      <c r="C12" s="9" t="str">
        <f aca="false">Access_Grants!C12</f>
        <v>Omar Khan</v>
      </c>
      <c r="D12" s="9" t="str">
        <f aca="false">Access_Grants!D12</f>
        <v>IT Operations</v>
      </c>
      <c r="E12" s="9" t="str">
        <f aca="false">Access_Grants!E12</f>
        <v>SYS-AD</v>
      </c>
      <c r="F12" s="9" t="str">
        <f aca="false">Access_Grants!F12</f>
        <v>R10</v>
      </c>
      <c r="G12" s="9" t="str">
        <f aca="false">Access_Grants!G12</f>
        <v>Domain Administrator</v>
      </c>
      <c r="H12" s="9" t="str">
        <f aca="false">Access_Grants!H12</f>
        <v>Admin</v>
      </c>
      <c r="I12" s="9" t="str">
        <f aca="false">Access_Grants!L12</f>
        <v>Revoked</v>
      </c>
      <c r="J12" s="10" t="n">
        <f aca="false">Access_Grants!I12</f>
        <v>44978</v>
      </c>
      <c r="K12" s="10" t="n">
        <f aca="false">IFERROR(INDEX(HR_Employees!$F$2:$F$51,MATCH(B12,HR_Employees!$A$2:$A$51,0)),"")</f>
        <v>0</v>
      </c>
      <c r="L12" s="10" t="n">
        <f aca="false">IF(Access_Grants!M12="","",Access_Grants!M12)</f>
        <v>45512</v>
      </c>
      <c r="M12" s="9" t="str">
        <f aca="false">IF(K12="","N/A - Active Employee",IF(OR(I12="Active",AND(L12&lt;&gt;"",L12&gt;K12+5)),"EXCEPTION: TERMINATED USER - ACCESS NOT REVOKED TIMELY","OK - Revoked Within SLA"))</f>
        <v>N/A - Active Employee</v>
      </c>
      <c r="N12" s="9" t="str">
        <f aca="false">Access_Grants!J12&amp;""</f>
        <v>System Auto-Provision</v>
      </c>
      <c r="O12" s="9" t="str">
        <f aca="false">Access_Grants!K12&amp;""</f>
        <v>CHG-80282</v>
      </c>
      <c r="P12" s="9" t="str">
        <f aca="false">IF(OR(TRIM(N12)="",TRIM(O12)=""),"EXCEPTION: NO DOCUMENTED APPROVAL","OK - Approved")</f>
        <v>OK - Approved</v>
      </c>
      <c r="Q12" s="9" t="str">
        <f aca="false">IFERROR(INDEX(SoD_Conflict_Matrix!$D$2:$D$7,MATCH(F12,SoD_Conflict_Matrix!$B$2:$B$7,0)),IFERROR(INDEX(SoD_Conflict_Matrix!$B$2:$B$7,MATCH(F12,SoD_Conflict_Matrix!$D$2:$D$7,0)),""))</f>
        <v/>
      </c>
      <c r="R12" s="9" t="str">
        <f aca="false">IFERROR(INDEX(SoD_Conflict_Matrix!$E$2:$E$7,MATCH(F12,SoD_Conflict_Matrix!$B$2:$B$7,0)),IFERROR(INDEX(SoD_Conflict_Matrix!$C$2:$C$7,MATCH(F12,SoD_Conflict_Matrix!$D$2:$D$7,0)),""))</f>
        <v/>
      </c>
      <c r="S12" s="9" t="str">
        <f aca="false">IF(Q12="","No Conflict Rule Applies to This Role",IF(COUNTIFS(Access_Grants!$B$2:$B$175,B12,Access_Grants!$F$2:$F$175,Q12,Access_Grants!$L$2:$L$175,"Active")&gt;0,"EXCEPTION: SoD CONFLICT - ALSO HOLDS "&amp;R12,"OK - No Conflicting Role Held"))</f>
        <v>No Conflict Rule Applies to This Role</v>
      </c>
      <c r="T12" s="9" t="str">
        <f aca="false">IF(AND(H12="Admin",I12="Active"),IF(COUNTIFS(Recertifications!$B$2:$B$119,B12,Recertifications!$E$2:$E$119,F12,Recertifications!$K$2:$K$119,"&lt;&gt;")&gt;0,"OK - Recertified","EXCEPTION: PRIVILEGED ACCESS NEVER RECERTIFIED"),"N/A - Not Privileged")</f>
        <v>N/A - Not Privileged</v>
      </c>
      <c r="U12" s="9" t="str">
        <f aca="false">IF(OR(LEFT(M12,9)="EXCEPTION",LEFT(P12,9)="EXCEPTION",LEFT(S12,9)="EXCEPTION",LEFT(T12,9)="EXCEPTION"),"EXCEPTION","Clean")</f>
        <v>Clean</v>
      </c>
      <c r="V12" s="9" t="str">
        <f aca="false">IF(LEFT(M12,9)="EXCEPTION","Deprovisioning Control Gap",IF(LEFT(S12,9)="EXCEPTION","Segregation of Duties Conflict",IF(LEFT(P12,9)="EXCEPTION","Provisioning Approval Gap",IF(LEFT(T12,9)="EXCEPTION","Recertification Gap","N/A"))))</f>
        <v>N/A</v>
      </c>
    </row>
    <row r="13" customFormat="false" ht="15" hidden="false" customHeight="true" outlineLevel="0" collapsed="false">
      <c r="A13" s="9" t="str">
        <f aca="false">Access_Grants!A13</f>
        <v>AG-0012</v>
      </c>
      <c r="B13" s="9" t="str">
        <f aca="false">Access_Grants!B13</f>
        <v>E004</v>
      </c>
      <c r="C13" s="9" t="str">
        <f aca="false">Access_Grants!C13</f>
        <v>Omar Khan</v>
      </c>
      <c r="D13" s="9" t="str">
        <f aca="false">Access_Grants!D13</f>
        <v>IT Operations</v>
      </c>
      <c r="E13" s="9" t="str">
        <f aca="false">Access_Grants!E13</f>
        <v>SYS-HRIS</v>
      </c>
      <c r="F13" s="9" t="str">
        <f aca="false">Access_Grants!F13</f>
        <v>R08</v>
      </c>
      <c r="G13" s="9" t="str">
        <f aca="false">Access_Grants!G13</f>
        <v>Employee Master Read-Only</v>
      </c>
      <c r="H13" s="9" t="str">
        <f aca="false">Access_Grants!H13</f>
        <v>Read</v>
      </c>
      <c r="I13" s="9" t="str">
        <f aca="false">Access_Grants!L13</f>
        <v>Active</v>
      </c>
      <c r="J13" s="10" t="n">
        <f aca="false">Access_Grants!I13</f>
        <v>44949</v>
      </c>
      <c r="K13" s="10" t="n">
        <f aca="false">IFERROR(INDEX(HR_Employees!$F$2:$F$51,MATCH(B13,HR_Employees!$A$2:$A$51,0)),"")</f>
        <v>0</v>
      </c>
      <c r="L13" s="10" t="str">
        <f aca="false">IF(Access_Grants!M13="","",Access_Grants!M13)</f>
        <v/>
      </c>
      <c r="M13" s="9" t="str">
        <f aca="false">IF(K13="","N/A - Active Employee",IF(OR(I13="Active",AND(L13&lt;&gt;"",L13&gt;K13+5)),"EXCEPTION: TERMINATED USER - ACCESS NOT REVOKED TIMELY","OK - Revoked Within SLA"))</f>
        <v>N/A - Active Employee</v>
      </c>
      <c r="N13" s="9" t="str">
        <f aca="false">Access_Grants!J13&amp;""</f>
        <v>MGR-10</v>
      </c>
      <c r="O13" s="9" t="str">
        <f aca="false">Access_Grants!K13&amp;""</f>
        <v/>
      </c>
      <c r="P13" s="9" t="str">
        <f aca="false">IF(OR(TRIM(N13)="",TRIM(O13)=""),"EXCEPTION: NO DOCUMENTED APPROVAL","OK - Approved")</f>
        <v>EXCEPTION: NO DOCUMENTED APPROVAL</v>
      </c>
      <c r="Q13" s="9" t="str">
        <f aca="false">IFERROR(INDEX(SoD_Conflict_Matrix!$D$2:$D$7,MATCH(F13,SoD_Conflict_Matrix!$B$2:$B$7,0)),IFERROR(INDEX(SoD_Conflict_Matrix!$B$2:$B$7,MATCH(F13,SoD_Conflict_Matrix!$D$2:$D$7,0)),""))</f>
        <v/>
      </c>
      <c r="R13" s="9" t="str">
        <f aca="false">IFERROR(INDEX(SoD_Conflict_Matrix!$E$2:$E$7,MATCH(F13,SoD_Conflict_Matrix!$B$2:$B$7,0)),IFERROR(INDEX(SoD_Conflict_Matrix!$C$2:$C$7,MATCH(F13,SoD_Conflict_Matrix!$D$2:$D$7,0)),""))</f>
        <v/>
      </c>
      <c r="S13" s="9" t="str">
        <f aca="false">IF(Q13="","No Conflict Rule Applies to This Role",IF(COUNTIFS(Access_Grants!$B$2:$B$175,B13,Access_Grants!$F$2:$F$175,Q13,Access_Grants!$L$2:$L$175,"Active")&gt;0,"EXCEPTION: SoD CONFLICT - ALSO HOLDS "&amp;R13,"OK - No Conflicting Role Held"))</f>
        <v>No Conflict Rule Applies to This Role</v>
      </c>
      <c r="T13" s="9" t="str">
        <f aca="false">IF(AND(H13="Admin",I13="Active"),IF(COUNTIFS(Recertifications!$B$2:$B$119,B13,Recertifications!$E$2:$E$119,F13,Recertifications!$K$2:$K$119,"&lt;&gt;")&gt;0,"OK - Recertified","EXCEPTION: PRIVILEGED ACCESS NEVER RECERTIFIED"),"N/A - Not Privileged")</f>
        <v>N/A - Not Privileged</v>
      </c>
      <c r="U13" s="9" t="str">
        <f aca="false">IF(OR(LEFT(M13,9)="EXCEPTION",LEFT(P13,9)="EXCEPTION",LEFT(S13,9)="EXCEPTION",LEFT(T13,9)="EXCEPTION"),"EXCEPTION","Clean")</f>
        <v>EXCEPTION</v>
      </c>
      <c r="V13" s="9" t="str">
        <f aca="false">IF(LEFT(M13,9)="EXCEPTION","Deprovisioning Control Gap",IF(LEFT(S13,9)="EXCEPTION","Segregation of Duties Conflict",IF(LEFT(P13,9)="EXCEPTION","Provisioning Approval Gap",IF(LEFT(T13,9)="EXCEPTION","Recertification Gap","N/A"))))</f>
        <v>Provisioning Approval Gap</v>
      </c>
    </row>
    <row r="14" customFormat="false" ht="15" hidden="false" customHeight="true" outlineLevel="0" collapsed="false">
      <c r="A14" s="9" t="str">
        <f aca="false">Access_Grants!A14</f>
        <v>AG-0013</v>
      </c>
      <c r="B14" s="9" t="str">
        <f aca="false">Access_Grants!B14</f>
        <v>E004</v>
      </c>
      <c r="C14" s="9" t="str">
        <f aca="false">Access_Grants!C14</f>
        <v>Omar Khan</v>
      </c>
      <c r="D14" s="9" t="str">
        <f aca="false">Access_Grants!D14</f>
        <v>IT Operations</v>
      </c>
      <c r="E14" s="9" t="str">
        <f aca="false">Access_Grants!E14</f>
        <v>SYS-AD</v>
      </c>
      <c r="F14" s="9" t="str">
        <f aca="false">Access_Grants!F14</f>
        <v>R09</v>
      </c>
      <c r="G14" s="9" t="str">
        <f aca="false">Access_Grants!G14</f>
        <v>Standard Network User</v>
      </c>
      <c r="H14" s="9" t="str">
        <f aca="false">Access_Grants!H14</f>
        <v>Read</v>
      </c>
      <c r="I14" s="9" t="str">
        <f aca="false">Access_Grants!L14</f>
        <v>Active</v>
      </c>
      <c r="J14" s="10" t="n">
        <f aca="false">Access_Grants!I14</f>
        <v>44967</v>
      </c>
      <c r="K14" s="10" t="n">
        <f aca="false">IFERROR(INDEX(HR_Employees!$F$2:$F$51,MATCH(B14,HR_Employees!$A$2:$A$51,0)),"")</f>
        <v>0</v>
      </c>
      <c r="L14" s="10" t="str">
        <f aca="false">IF(Access_Grants!M14="","",Access_Grants!M14)</f>
        <v/>
      </c>
      <c r="M14" s="9" t="str">
        <f aca="false">IF(K14="","N/A - Active Employee",IF(OR(I14="Active",AND(L14&lt;&gt;"",L14&gt;K14+5)),"EXCEPTION: TERMINATED USER - ACCESS NOT REVOKED TIMELY","OK - Revoked Within SLA"))</f>
        <v>N/A - Active Employee</v>
      </c>
      <c r="N14" s="9" t="str">
        <f aca="false">Access_Grants!J14&amp;""</f>
        <v>MGR-07</v>
      </c>
      <c r="O14" s="9" t="str">
        <f aca="false">Access_Grants!K14&amp;""</f>
        <v>CHG-89457</v>
      </c>
      <c r="P14" s="9" t="str">
        <f aca="false">IF(OR(TRIM(N14)="",TRIM(O14)=""),"EXCEPTION: NO DOCUMENTED APPROVAL","OK - Approved")</f>
        <v>OK - Approved</v>
      </c>
      <c r="Q14" s="9" t="str">
        <f aca="false">IFERROR(INDEX(SoD_Conflict_Matrix!$D$2:$D$7,MATCH(F14,SoD_Conflict_Matrix!$B$2:$B$7,0)),IFERROR(INDEX(SoD_Conflict_Matrix!$B$2:$B$7,MATCH(F14,SoD_Conflict_Matrix!$D$2:$D$7,0)),""))</f>
        <v/>
      </c>
      <c r="R14" s="9" t="str">
        <f aca="false">IFERROR(INDEX(SoD_Conflict_Matrix!$E$2:$E$7,MATCH(F14,SoD_Conflict_Matrix!$B$2:$B$7,0)),IFERROR(INDEX(SoD_Conflict_Matrix!$C$2:$C$7,MATCH(F14,SoD_Conflict_Matrix!$D$2:$D$7,0)),""))</f>
        <v/>
      </c>
      <c r="S14" s="9" t="str">
        <f aca="false">IF(Q14="","No Conflict Rule Applies to This Role",IF(COUNTIFS(Access_Grants!$B$2:$B$175,B14,Access_Grants!$F$2:$F$175,Q14,Access_Grants!$L$2:$L$175,"Active")&gt;0,"EXCEPTION: SoD CONFLICT - ALSO HOLDS "&amp;R14,"OK - No Conflicting Role Held"))</f>
        <v>No Conflict Rule Applies to This Role</v>
      </c>
      <c r="T14" s="9" t="str">
        <f aca="false">IF(AND(H14="Admin",I14="Active"),IF(COUNTIFS(Recertifications!$B$2:$B$119,B14,Recertifications!$E$2:$E$119,F14,Recertifications!$K$2:$K$119,"&lt;&gt;")&gt;0,"OK - Recertified","EXCEPTION: PRIVILEGED ACCESS NEVER RECERTIFIED"),"N/A - Not Privileged")</f>
        <v>N/A - Not Privileged</v>
      </c>
      <c r="U14" s="9" t="str">
        <f aca="false">IF(OR(LEFT(M14,9)="EXCEPTION",LEFT(P14,9)="EXCEPTION",LEFT(S14,9)="EXCEPTION",LEFT(T14,9)="EXCEPTION"),"EXCEPTION","Clean")</f>
        <v>Clean</v>
      </c>
      <c r="V14" s="9" t="str">
        <f aca="false">IF(LEFT(M14,9)="EXCEPTION","Deprovisioning Control Gap",IF(LEFT(S14,9)="EXCEPTION","Segregation of Duties Conflict",IF(LEFT(P14,9)="EXCEPTION","Provisioning Approval Gap",IF(LEFT(T14,9)="EXCEPTION","Recertification Gap","N/A"))))</f>
        <v>N/A</v>
      </c>
    </row>
    <row r="15" customFormat="false" ht="15" hidden="false" customHeight="true" outlineLevel="0" collapsed="false">
      <c r="A15" s="9" t="str">
        <f aca="false">Access_Grants!A15</f>
        <v>AG-0014</v>
      </c>
      <c r="B15" s="9" t="str">
        <f aca="false">Access_Grants!B15</f>
        <v>E005</v>
      </c>
      <c r="C15" s="9" t="str">
        <f aca="false">Access_Grants!C15</f>
        <v>Olivia Andersson</v>
      </c>
      <c r="D15" s="9" t="str">
        <f aca="false">Access_Grants!D15</f>
        <v>IT Operations</v>
      </c>
      <c r="E15" s="9" t="str">
        <f aca="false">Access_Grants!E15</f>
        <v>SYS-AD</v>
      </c>
      <c r="F15" s="9" t="str">
        <f aca="false">Access_Grants!F15</f>
        <v>R10</v>
      </c>
      <c r="G15" s="9" t="str">
        <f aca="false">Access_Grants!G15</f>
        <v>Domain Administrator</v>
      </c>
      <c r="H15" s="9" t="str">
        <f aca="false">Access_Grants!H15</f>
        <v>Admin</v>
      </c>
      <c r="I15" s="9" t="str">
        <f aca="false">Access_Grants!L15</f>
        <v>Active</v>
      </c>
      <c r="J15" s="10" t="n">
        <f aca="false">Access_Grants!I15</f>
        <v>44928</v>
      </c>
      <c r="K15" s="10" t="n">
        <f aca="false">IFERROR(INDEX(HR_Employees!$F$2:$F$51,MATCH(B15,HR_Employees!$A$2:$A$51,0)),"")</f>
        <v>0</v>
      </c>
      <c r="L15" s="10" t="str">
        <f aca="false">IF(Access_Grants!M15="","",Access_Grants!M15)</f>
        <v/>
      </c>
      <c r="M15" s="9" t="str">
        <f aca="false">IF(K15="","N/A - Active Employee",IF(OR(I15="Active",AND(L15&lt;&gt;"",L15&gt;K15+5)),"EXCEPTION: TERMINATED USER - ACCESS NOT REVOKED TIMELY","OK - Revoked Within SLA"))</f>
        <v>N/A - Active Employee</v>
      </c>
      <c r="N15" s="9" t="str">
        <f aca="false">Access_Grants!J15&amp;""</f>
        <v>MGR-09</v>
      </c>
      <c r="O15" s="9" t="str">
        <f aca="false">Access_Grants!K15&amp;""</f>
        <v>CHG-80575</v>
      </c>
      <c r="P15" s="9" t="str">
        <f aca="false">IF(OR(TRIM(N15)="",TRIM(O15)=""),"EXCEPTION: NO DOCUMENTED APPROVAL","OK - Approved")</f>
        <v>OK - Approved</v>
      </c>
      <c r="Q15" s="9" t="str">
        <f aca="false">IFERROR(INDEX(SoD_Conflict_Matrix!$D$2:$D$7,MATCH(F15,SoD_Conflict_Matrix!$B$2:$B$7,0)),IFERROR(INDEX(SoD_Conflict_Matrix!$B$2:$B$7,MATCH(F15,SoD_Conflict_Matrix!$D$2:$D$7,0)),""))</f>
        <v/>
      </c>
      <c r="R15" s="9" t="str">
        <f aca="false">IFERROR(INDEX(SoD_Conflict_Matrix!$E$2:$E$7,MATCH(F15,SoD_Conflict_Matrix!$B$2:$B$7,0)),IFERROR(INDEX(SoD_Conflict_Matrix!$C$2:$C$7,MATCH(F15,SoD_Conflict_Matrix!$D$2:$D$7,0)),""))</f>
        <v/>
      </c>
      <c r="S15" s="9" t="str">
        <f aca="false">IF(Q15="","No Conflict Rule Applies to This Role",IF(COUNTIFS(Access_Grants!$B$2:$B$175,B15,Access_Grants!$F$2:$F$175,Q15,Access_Grants!$L$2:$L$175,"Active")&gt;0,"EXCEPTION: SoD CONFLICT - ALSO HOLDS "&amp;R15,"OK - No Conflicting Role Held"))</f>
        <v>No Conflict Rule Applies to This Role</v>
      </c>
      <c r="T15" s="9" t="str">
        <f aca="false">IF(AND(H15="Admin",I15="Active"),IF(COUNTIFS(Recertifications!$B$2:$B$119,B15,Recertifications!$E$2:$E$119,F15,Recertifications!$K$2:$K$119,"&lt;&gt;")&gt;0,"OK - Recertified","EXCEPTION: PRIVILEGED ACCESS NEVER RECERTIFIED"),"N/A - Not Privileged")</f>
        <v>OK - Recertified</v>
      </c>
      <c r="U15" s="9" t="str">
        <f aca="false">IF(OR(LEFT(M15,9)="EXCEPTION",LEFT(P15,9)="EXCEPTION",LEFT(S15,9)="EXCEPTION",LEFT(T15,9)="EXCEPTION"),"EXCEPTION","Clean")</f>
        <v>Clean</v>
      </c>
      <c r="V15" s="9" t="str">
        <f aca="false">IF(LEFT(M15,9)="EXCEPTION","Deprovisioning Control Gap",IF(LEFT(S15,9)="EXCEPTION","Segregation of Duties Conflict",IF(LEFT(P15,9)="EXCEPTION","Provisioning Approval Gap",IF(LEFT(T15,9)="EXCEPTION","Recertification Gap","N/A"))))</f>
        <v>N/A</v>
      </c>
    </row>
    <row r="16" customFormat="false" ht="15" hidden="false" customHeight="true" outlineLevel="0" collapsed="false">
      <c r="A16" s="9" t="str">
        <f aca="false">Access_Grants!A16</f>
        <v>AG-0015</v>
      </c>
      <c r="B16" s="9" t="str">
        <f aca="false">Access_Grants!B16</f>
        <v>E005</v>
      </c>
      <c r="C16" s="9" t="str">
        <f aca="false">Access_Grants!C16</f>
        <v>Olivia Andersson</v>
      </c>
      <c r="D16" s="9" t="str">
        <f aca="false">Access_Grants!D16</f>
        <v>IT Operations</v>
      </c>
      <c r="E16" s="9" t="str">
        <f aca="false">Access_Grants!E16</f>
        <v>SYS-HRIS</v>
      </c>
      <c r="F16" s="9" t="str">
        <f aca="false">Access_Grants!F16</f>
        <v>R08</v>
      </c>
      <c r="G16" s="9" t="str">
        <f aca="false">Access_Grants!G16</f>
        <v>Employee Master Read-Only</v>
      </c>
      <c r="H16" s="9" t="str">
        <f aca="false">Access_Grants!H16</f>
        <v>Read</v>
      </c>
      <c r="I16" s="9" t="str">
        <f aca="false">Access_Grants!L16</f>
        <v>Active</v>
      </c>
      <c r="J16" s="10" t="n">
        <f aca="false">Access_Grants!I16</f>
        <v>45128</v>
      </c>
      <c r="K16" s="10" t="n">
        <f aca="false">IFERROR(INDEX(HR_Employees!$F$2:$F$51,MATCH(B16,HR_Employees!$A$2:$A$51,0)),"")</f>
        <v>0</v>
      </c>
      <c r="L16" s="10" t="str">
        <f aca="false">IF(Access_Grants!M16="","",Access_Grants!M16)</f>
        <v/>
      </c>
      <c r="M16" s="9" t="str">
        <f aca="false">IF(K16="","N/A - Active Employee",IF(OR(I16="Active",AND(L16&lt;&gt;"",L16&gt;K16+5)),"EXCEPTION: TERMINATED USER - ACCESS NOT REVOKED TIMELY","OK - Revoked Within SLA"))</f>
        <v>N/A - Active Employee</v>
      </c>
      <c r="N16" s="9" t="str">
        <f aca="false">Access_Grants!J16&amp;""</f>
        <v>MGR-06</v>
      </c>
      <c r="O16" s="9" t="str">
        <f aca="false">Access_Grants!K16&amp;""</f>
        <v/>
      </c>
      <c r="P16" s="9" t="str">
        <f aca="false">IF(OR(TRIM(N16)="",TRIM(O16)=""),"EXCEPTION: NO DOCUMENTED APPROVAL","OK - Approved")</f>
        <v>EXCEPTION: NO DOCUMENTED APPROVAL</v>
      </c>
      <c r="Q16" s="9" t="str">
        <f aca="false">IFERROR(INDEX(SoD_Conflict_Matrix!$D$2:$D$7,MATCH(F16,SoD_Conflict_Matrix!$B$2:$B$7,0)),IFERROR(INDEX(SoD_Conflict_Matrix!$B$2:$B$7,MATCH(F16,SoD_Conflict_Matrix!$D$2:$D$7,0)),""))</f>
        <v/>
      </c>
      <c r="R16" s="9" t="str">
        <f aca="false">IFERROR(INDEX(SoD_Conflict_Matrix!$E$2:$E$7,MATCH(F16,SoD_Conflict_Matrix!$B$2:$B$7,0)),IFERROR(INDEX(SoD_Conflict_Matrix!$C$2:$C$7,MATCH(F16,SoD_Conflict_Matrix!$D$2:$D$7,0)),""))</f>
        <v/>
      </c>
      <c r="S16" s="9" t="str">
        <f aca="false">IF(Q16="","No Conflict Rule Applies to This Role",IF(COUNTIFS(Access_Grants!$B$2:$B$175,B16,Access_Grants!$F$2:$F$175,Q16,Access_Grants!$L$2:$L$175,"Active")&gt;0,"EXCEPTION: SoD CONFLICT - ALSO HOLDS "&amp;R16,"OK - No Conflicting Role Held"))</f>
        <v>No Conflict Rule Applies to This Role</v>
      </c>
      <c r="T16" s="9" t="str">
        <f aca="false">IF(AND(H16="Admin",I16="Active"),IF(COUNTIFS(Recertifications!$B$2:$B$119,B16,Recertifications!$E$2:$E$119,F16,Recertifications!$K$2:$K$119,"&lt;&gt;")&gt;0,"OK - Recertified","EXCEPTION: PRIVILEGED ACCESS NEVER RECERTIFIED"),"N/A - Not Privileged")</f>
        <v>N/A - Not Privileged</v>
      </c>
      <c r="U16" s="9" t="str">
        <f aca="false">IF(OR(LEFT(M16,9)="EXCEPTION",LEFT(P16,9)="EXCEPTION",LEFT(S16,9)="EXCEPTION",LEFT(T16,9)="EXCEPTION"),"EXCEPTION","Clean")</f>
        <v>EXCEPTION</v>
      </c>
      <c r="V16" s="9" t="str">
        <f aca="false">IF(LEFT(M16,9)="EXCEPTION","Deprovisioning Control Gap",IF(LEFT(S16,9)="EXCEPTION","Segregation of Duties Conflict",IF(LEFT(P16,9)="EXCEPTION","Provisioning Approval Gap",IF(LEFT(T16,9)="EXCEPTION","Recertification Gap","N/A"))))</f>
        <v>Provisioning Approval Gap</v>
      </c>
    </row>
    <row r="17" customFormat="false" ht="15" hidden="false" customHeight="true" outlineLevel="0" collapsed="false">
      <c r="A17" s="9" t="str">
        <f aca="false">Access_Grants!A17</f>
        <v>AG-0016</v>
      </c>
      <c r="B17" s="9" t="str">
        <f aca="false">Access_Grants!B17</f>
        <v>E005</v>
      </c>
      <c r="C17" s="9" t="str">
        <f aca="false">Access_Grants!C17</f>
        <v>Olivia Andersson</v>
      </c>
      <c r="D17" s="9" t="str">
        <f aca="false">Access_Grants!D17</f>
        <v>IT Operations</v>
      </c>
      <c r="E17" s="9" t="str">
        <f aca="false">Access_Grants!E17</f>
        <v>SYS-AD</v>
      </c>
      <c r="F17" s="9" t="str">
        <f aca="false">Access_Grants!F17</f>
        <v>R09</v>
      </c>
      <c r="G17" s="9" t="str">
        <f aca="false">Access_Grants!G17</f>
        <v>Standard Network User</v>
      </c>
      <c r="H17" s="9" t="str">
        <f aca="false">Access_Grants!H17</f>
        <v>Read</v>
      </c>
      <c r="I17" s="9" t="str">
        <f aca="false">Access_Grants!L17</f>
        <v>Active</v>
      </c>
      <c r="J17" s="10" t="n">
        <f aca="false">Access_Grants!I17</f>
        <v>45248</v>
      </c>
      <c r="K17" s="10" t="n">
        <f aca="false">IFERROR(INDEX(HR_Employees!$F$2:$F$51,MATCH(B17,HR_Employees!$A$2:$A$51,0)),"")</f>
        <v>0</v>
      </c>
      <c r="L17" s="10" t="str">
        <f aca="false">IF(Access_Grants!M17="","",Access_Grants!M17)</f>
        <v/>
      </c>
      <c r="M17" s="9" t="str">
        <f aca="false">IF(K17="","N/A - Active Employee",IF(OR(I17="Active",AND(L17&lt;&gt;"",L17&gt;K17+5)),"EXCEPTION: TERMINATED USER - ACCESS NOT REVOKED TIMELY","OK - Revoked Within SLA"))</f>
        <v>N/A - Active Employee</v>
      </c>
      <c r="N17" s="9" t="str">
        <f aca="false">Access_Grants!J17&amp;""</f>
        <v>System Auto-Provision</v>
      </c>
      <c r="O17" s="9" t="str">
        <f aca="false">Access_Grants!K17&amp;""</f>
        <v>CHG-26334</v>
      </c>
      <c r="P17" s="9" t="str">
        <f aca="false">IF(OR(TRIM(N17)="",TRIM(O17)=""),"EXCEPTION: NO DOCUMENTED APPROVAL","OK - Approved")</f>
        <v>OK - Approved</v>
      </c>
      <c r="Q17" s="9" t="str">
        <f aca="false">IFERROR(INDEX(SoD_Conflict_Matrix!$D$2:$D$7,MATCH(F17,SoD_Conflict_Matrix!$B$2:$B$7,0)),IFERROR(INDEX(SoD_Conflict_Matrix!$B$2:$B$7,MATCH(F17,SoD_Conflict_Matrix!$D$2:$D$7,0)),""))</f>
        <v/>
      </c>
      <c r="R17" s="9" t="str">
        <f aca="false">IFERROR(INDEX(SoD_Conflict_Matrix!$E$2:$E$7,MATCH(F17,SoD_Conflict_Matrix!$B$2:$B$7,0)),IFERROR(INDEX(SoD_Conflict_Matrix!$C$2:$C$7,MATCH(F17,SoD_Conflict_Matrix!$D$2:$D$7,0)),""))</f>
        <v/>
      </c>
      <c r="S17" s="9" t="str">
        <f aca="false">IF(Q17="","No Conflict Rule Applies to This Role",IF(COUNTIFS(Access_Grants!$B$2:$B$175,B17,Access_Grants!$F$2:$F$175,Q17,Access_Grants!$L$2:$L$175,"Active")&gt;0,"EXCEPTION: SoD CONFLICT - ALSO HOLDS "&amp;R17,"OK - No Conflicting Role Held"))</f>
        <v>No Conflict Rule Applies to This Role</v>
      </c>
      <c r="T17" s="9" t="str">
        <f aca="false">IF(AND(H17="Admin",I17="Active"),IF(COUNTIFS(Recertifications!$B$2:$B$119,B17,Recertifications!$E$2:$E$119,F17,Recertifications!$K$2:$K$119,"&lt;&gt;")&gt;0,"OK - Recertified","EXCEPTION: PRIVILEGED ACCESS NEVER RECERTIFIED"),"N/A - Not Privileged")</f>
        <v>N/A - Not Privileged</v>
      </c>
      <c r="U17" s="9" t="str">
        <f aca="false">IF(OR(LEFT(M17,9)="EXCEPTION",LEFT(P17,9)="EXCEPTION",LEFT(S17,9)="EXCEPTION",LEFT(T17,9)="EXCEPTION"),"EXCEPTION","Clean")</f>
        <v>Clean</v>
      </c>
      <c r="V17" s="9" t="str">
        <f aca="false">IF(LEFT(M17,9)="EXCEPTION","Deprovisioning Control Gap",IF(LEFT(S17,9)="EXCEPTION","Segregation of Duties Conflict",IF(LEFT(P17,9)="EXCEPTION","Provisioning Approval Gap",IF(LEFT(T17,9)="EXCEPTION","Recertification Gap","N/A"))))</f>
        <v>N/A</v>
      </c>
    </row>
    <row r="18" customFormat="false" ht="15" hidden="false" customHeight="true" outlineLevel="0" collapsed="false">
      <c r="A18" s="9" t="str">
        <f aca="false">Access_Grants!A18</f>
        <v>AG-0017</v>
      </c>
      <c r="B18" s="9" t="str">
        <f aca="false">Access_Grants!B18</f>
        <v>E006</v>
      </c>
      <c r="C18" s="9" t="str">
        <f aca="false">Access_Grants!C18</f>
        <v>Fatima Santos</v>
      </c>
      <c r="D18" s="9" t="str">
        <f aca="false">Access_Grants!D18</f>
        <v>Accounts Payable</v>
      </c>
      <c r="E18" s="9" t="str">
        <f aca="false">Access_Grants!E18</f>
        <v>SYS-ERP</v>
      </c>
      <c r="F18" s="9" t="str">
        <f aca="false">Access_Grants!F18</f>
        <v>R03</v>
      </c>
      <c r="G18" s="9" t="str">
        <f aca="false">Access_Grants!G18</f>
        <v>Vendor Master Maintenance</v>
      </c>
      <c r="H18" s="9" t="str">
        <f aca="false">Access_Grants!H18</f>
        <v>Write</v>
      </c>
      <c r="I18" s="9" t="str">
        <f aca="false">Access_Grants!L18</f>
        <v>Active</v>
      </c>
      <c r="J18" s="10" t="n">
        <f aca="false">Access_Grants!I18</f>
        <v>46071</v>
      </c>
      <c r="K18" s="10" t="n">
        <f aca="false">IFERROR(INDEX(HR_Employees!$F$2:$F$51,MATCH(B18,HR_Employees!$A$2:$A$51,0)),"")</f>
        <v>0</v>
      </c>
      <c r="L18" s="10" t="str">
        <f aca="false">IF(Access_Grants!M18="","",Access_Grants!M18)</f>
        <v/>
      </c>
      <c r="M18" s="9" t="str">
        <f aca="false">IF(K18="","N/A - Active Employee",IF(OR(I18="Active",AND(L18&lt;&gt;"",L18&gt;K18+5)),"EXCEPTION: TERMINATED USER - ACCESS NOT REVOKED TIMELY","OK - Revoked Within SLA"))</f>
        <v>N/A - Active Employee</v>
      </c>
      <c r="N18" s="9" t="str">
        <f aca="false">Access_Grants!J18&amp;""</f>
        <v>MGR-03</v>
      </c>
      <c r="O18" s="9" t="str">
        <f aca="false">Access_Grants!K18&amp;""</f>
        <v>CHG-35144</v>
      </c>
      <c r="P18" s="9" t="str">
        <f aca="false">IF(OR(TRIM(N18)="",TRIM(O18)=""),"EXCEPTION: NO DOCUMENTED APPROVAL","OK - Approved")</f>
        <v>OK - Approved</v>
      </c>
      <c r="Q18" s="9" t="str">
        <f aca="false">IFERROR(INDEX(SoD_Conflict_Matrix!$D$2:$D$7,MATCH(F18,SoD_Conflict_Matrix!$B$2:$B$7,0)),IFERROR(INDEX(SoD_Conflict_Matrix!$B$2:$B$7,MATCH(F18,SoD_Conflict_Matrix!$D$2:$D$7,0)),""))</f>
        <v>R02</v>
      </c>
      <c r="R18" s="9" t="str">
        <f aca="false">IFERROR(INDEX(SoD_Conflict_Matrix!$E$2:$E$7,MATCH(F18,SoD_Conflict_Matrix!$B$2:$B$7,0)),IFERROR(INDEX(SoD_Conflict_Matrix!$C$2:$C$7,MATCH(F18,SoD_Conflict_Matrix!$D$2:$D$7,0)),""))</f>
        <v>AP Payment Approval</v>
      </c>
      <c r="S18" s="9" t="str">
        <f aca="false">IF(Q18="","No Conflict Rule Applies to This Role",IF(COUNTIFS(Access_Grants!$B$2:$B$175,B18,Access_Grants!$F$2:$F$175,Q18,Access_Grants!$L$2:$L$175,"Active")&gt;0,"EXCEPTION: SoD CONFLICT - ALSO HOLDS "&amp;R18,"OK - No Conflicting Role Held"))</f>
        <v>OK - No Conflicting Role Held</v>
      </c>
      <c r="T18" s="9" t="str">
        <f aca="false">IF(AND(H18="Admin",I18="Active"),IF(COUNTIFS(Recertifications!$B$2:$B$119,B18,Recertifications!$E$2:$E$119,F18,Recertifications!$K$2:$K$119,"&lt;&gt;")&gt;0,"OK - Recertified","EXCEPTION: PRIVILEGED ACCESS NEVER RECERTIFIED"),"N/A - Not Privileged")</f>
        <v>N/A - Not Privileged</v>
      </c>
      <c r="U18" s="9" t="str">
        <f aca="false">IF(OR(LEFT(M18,9)="EXCEPTION",LEFT(P18,9)="EXCEPTION",LEFT(S18,9)="EXCEPTION",LEFT(T18,9)="EXCEPTION"),"EXCEPTION","Clean")</f>
        <v>Clean</v>
      </c>
      <c r="V18" s="9" t="str">
        <f aca="false">IF(LEFT(M18,9)="EXCEPTION","Deprovisioning Control Gap",IF(LEFT(S18,9)="EXCEPTION","Segregation of Duties Conflict",IF(LEFT(P18,9)="EXCEPTION","Provisioning Approval Gap",IF(LEFT(T18,9)="EXCEPTION","Recertification Gap","N/A"))))</f>
        <v>N/A</v>
      </c>
    </row>
    <row r="19" customFormat="false" ht="15" hidden="false" customHeight="true" outlineLevel="0" collapsed="false">
      <c r="A19" s="9" t="str">
        <f aca="false">Access_Grants!A19</f>
        <v>AG-0018</v>
      </c>
      <c r="B19" s="9" t="str">
        <f aca="false">Access_Grants!B19</f>
        <v>E006</v>
      </c>
      <c r="C19" s="9" t="str">
        <f aca="false">Access_Grants!C19</f>
        <v>Fatima Santos</v>
      </c>
      <c r="D19" s="9" t="str">
        <f aca="false">Access_Grants!D19</f>
        <v>Accounts Payable</v>
      </c>
      <c r="E19" s="9" t="str">
        <f aca="false">Access_Grants!E19</f>
        <v>SYS-HRIS</v>
      </c>
      <c r="F19" s="9" t="str">
        <f aca="false">Access_Grants!F19</f>
        <v>R08</v>
      </c>
      <c r="G19" s="9" t="str">
        <f aca="false">Access_Grants!G19</f>
        <v>Employee Master Read-Only</v>
      </c>
      <c r="H19" s="9" t="str">
        <f aca="false">Access_Grants!H19</f>
        <v>Read</v>
      </c>
      <c r="I19" s="9" t="str">
        <f aca="false">Access_Grants!L19</f>
        <v>Active</v>
      </c>
      <c r="J19" s="10" t="n">
        <f aca="false">Access_Grants!I19</f>
        <v>45292</v>
      </c>
      <c r="K19" s="10" t="n">
        <f aca="false">IFERROR(INDEX(HR_Employees!$F$2:$F$51,MATCH(B19,HR_Employees!$A$2:$A$51,0)),"")</f>
        <v>0</v>
      </c>
      <c r="L19" s="10" t="str">
        <f aca="false">IF(Access_Grants!M19="","",Access_Grants!M19)</f>
        <v/>
      </c>
      <c r="M19" s="9" t="str">
        <f aca="false">IF(K19="","N/A - Active Employee",IF(OR(I19="Active",AND(L19&lt;&gt;"",L19&gt;K19+5)),"EXCEPTION: TERMINATED USER - ACCESS NOT REVOKED TIMELY","OK - Revoked Within SLA"))</f>
        <v>N/A - Active Employee</v>
      </c>
      <c r="N19" s="9" t="str">
        <f aca="false">Access_Grants!J19&amp;""</f>
        <v>MGR-10</v>
      </c>
      <c r="O19" s="9" t="str">
        <f aca="false">Access_Grants!K19&amp;""</f>
        <v>CHG-84593</v>
      </c>
      <c r="P19" s="9" t="str">
        <f aca="false">IF(OR(TRIM(N19)="",TRIM(O19)=""),"EXCEPTION: NO DOCUMENTED APPROVAL","OK - Approved")</f>
        <v>OK - Approved</v>
      </c>
      <c r="Q19" s="9" t="str">
        <f aca="false">IFERROR(INDEX(SoD_Conflict_Matrix!$D$2:$D$7,MATCH(F19,SoD_Conflict_Matrix!$B$2:$B$7,0)),IFERROR(INDEX(SoD_Conflict_Matrix!$B$2:$B$7,MATCH(F19,SoD_Conflict_Matrix!$D$2:$D$7,0)),""))</f>
        <v/>
      </c>
      <c r="R19" s="9" t="str">
        <f aca="false">IFERROR(INDEX(SoD_Conflict_Matrix!$E$2:$E$7,MATCH(F19,SoD_Conflict_Matrix!$B$2:$B$7,0)),IFERROR(INDEX(SoD_Conflict_Matrix!$C$2:$C$7,MATCH(F19,SoD_Conflict_Matrix!$D$2:$D$7,0)),""))</f>
        <v/>
      </c>
      <c r="S19" s="9" t="str">
        <f aca="false">IF(Q19="","No Conflict Rule Applies to This Role",IF(COUNTIFS(Access_Grants!$B$2:$B$175,B19,Access_Grants!$F$2:$F$175,Q19,Access_Grants!$L$2:$L$175,"Active")&gt;0,"EXCEPTION: SoD CONFLICT - ALSO HOLDS "&amp;R19,"OK - No Conflicting Role Held"))</f>
        <v>No Conflict Rule Applies to This Role</v>
      </c>
      <c r="T19" s="9" t="str">
        <f aca="false">IF(AND(H19="Admin",I19="Active"),IF(COUNTIFS(Recertifications!$B$2:$B$119,B19,Recertifications!$E$2:$E$119,F19,Recertifications!$K$2:$K$119,"&lt;&gt;")&gt;0,"OK - Recertified","EXCEPTION: PRIVILEGED ACCESS NEVER RECERTIFIED"),"N/A - Not Privileged")</f>
        <v>N/A - Not Privileged</v>
      </c>
      <c r="U19" s="9" t="str">
        <f aca="false">IF(OR(LEFT(M19,9)="EXCEPTION",LEFT(P19,9)="EXCEPTION",LEFT(S19,9)="EXCEPTION",LEFT(T19,9)="EXCEPTION"),"EXCEPTION","Clean")</f>
        <v>Clean</v>
      </c>
      <c r="V19" s="9" t="str">
        <f aca="false">IF(LEFT(M19,9)="EXCEPTION","Deprovisioning Control Gap",IF(LEFT(S19,9)="EXCEPTION","Segregation of Duties Conflict",IF(LEFT(P19,9)="EXCEPTION","Provisioning Approval Gap",IF(LEFT(T19,9)="EXCEPTION","Recertification Gap","N/A"))))</f>
        <v>N/A</v>
      </c>
    </row>
    <row r="20" customFormat="false" ht="15" hidden="false" customHeight="true" outlineLevel="0" collapsed="false">
      <c r="A20" s="9" t="str">
        <f aca="false">Access_Grants!A20</f>
        <v>AG-0019</v>
      </c>
      <c r="B20" s="9" t="str">
        <f aca="false">Access_Grants!B20</f>
        <v>E006</v>
      </c>
      <c r="C20" s="9" t="str">
        <f aca="false">Access_Grants!C20</f>
        <v>Fatima Santos</v>
      </c>
      <c r="D20" s="9" t="str">
        <f aca="false">Access_Grants!D20</f>
        <v>Accounts Payable</v>
      </c>
      <c r="E20" s="9" t="str">
        <f aca="false">Access_Grants!E20</f>
        <v>SYS-AD</v>
      </c>
      <c r="F20" s="9" t="str">
        <f aca="false">Access_Grants!F20</f>
        <v>R09</v>
      </c>
      <c r="G20" s="9" t="str">
        <f aca="false">Access_Grants!G20</f>
        <v>Standard Network User</v>
      </c>
      <c r="H20" s="9" t="str">
        <f aca="false">Access_Grants!H20</f>
        <v>Read</v>
      </c>
      <c r="I20" s="9" t="str">
        <f aca="false">Access_Grants!L20</f>
        <v>Active</v>
      </c>
      <c r="J20" s="10" t="n">
        <f aca="false">Access_Grants!I20</f>
        <v>44936</v>
      </c>
      <c r="K20" s="10" t="n">
        <f aca="false">IFERROR(INDEX(HR_Employees!$F$2:$F$51,MATCH(B20,HR_Employees!$A$2:$A$51,0)),"")</f>
        <v>0</v>
      </c>
      <c r="L20" s="10" t="str">
        <f aca="false">IF(Access_Grants!M20="","",Access_Grants!M20)</f>
        <v/>
      </c>
      <c r="M20" s="9" t="str">
        <f aca="false">IF(K20="","N/A - Active Employee",IF(OR(I20="Active",AND(L20&lt;&gt;"",L20&gt;K20+5)),"EXCEPTION: TERMINATED USER - ACCESS NOT REVOKED TIMELY","OK - Revoked Within SLA"))</f>
        <v>N/A - Active Employee</v>
      </c>
      <c r="N20" s="9" t="str">
        <f aca="false">Access_Grants!J20&amp;""</f>
        <v>MGR-05</v>
      </c>
      <c r="O20" s="9" t="str">
        <f aca="false">Access_Grants!K20&amp;""</f>
        <v>CHG-47606</v>
      </c>
      <c r="P20" s="9" t="str">
        <f aca="false">IF(OR(TRIM(N20)="",TRIM(O20)=""),"EXCEPTION: NO DOCUMENTED APPROVAL","OK - Approved")</f>
        <v>OK - Approved</v>
      </c>
      <c r="Q20" s="9" t="str">
        <f aca="false">IFERROR(INDEX(SoD_Conflict_Matrix!$D$2:$D$7,MATCH(F20,SoD_Conflict_Matrix!$B$2:$B$7,0)),IFERROR(INDEX(SoD_Conflict_Matrix!$B$2:$B$7,MATCH(F20,SoD_Conflict_Matrix!$D$2:$D$7,0)),""))</f>
        <v/>
      </c>
      <c r="R20" s="9" t="str">
        <f aca="false">IFERROR(INDEX(SoD_Conflict_Matrix!$E$2:$E$7,MATCH(F20,SoD_Conflict_Matrix!$B$2:$B$7,0)),IFERROR(INDEX(SoD_Conflict_Matrix!$C$2:$C$7,MATCH(F20,SoD_Conflict_Matrix!$D$2:$D$7,0)),""))</f>
        <v/>
      </c>
      <c r="S20" s="9" t="str">
        <f aca="false">IF(Q20="","No Conflict Rule Applies to This Role",IF(COUNTIFS(Access_Grants!$B$2:$B$175,B20,Access_Grants!$F$2:$F$175,Q20,Access_Grants!$L$2:$L$175,"Active")&gt;0,"EXCEPTION: SoD CONFLICT - ALSO HOLDS "&amp;R20,"OK - No Conflicting Role Held"))</f>
        <v>No Conflict Rule Applies to This Role</v>
      </c>
      <c r="T20" s="9" t="str">
        <f aca="false">IF(AND(H20="Admin",I20="Active"),IF(COUNTIFS(Recertifications!$B$2:$B$119,B20,Recertifications!$E$2:$E$119,F20,Recertifications!$K$2:$K$119,"&lt;&gt;")&gt;0,"OK - Recertified","EXCEPTION: PRIVILEGED ACCESS NEVER RECERTIFIED"),"N/A - Not Privileged")</f>
        <v>N/A - Not Privileged</v>
      </c>
      <c r="U20" s="9" t="str">
        <f aca="false">IF(OR(LEFT(M20,9)="EXCEPTION",LEFT(P20,9)="EXCEPTION",LEFT(S20,9)="EXCEPTION",LEFT(T20,9)="EXCEPTION"),"EXCEPTION","Clean")</f>
        <v>Clean</v>
      </c>
      <c r="V20" s="9" t="str">
        <f aca="false">IF(LEFT(M20,9)="EXCEPTION","Deprovisioning Control Gap",IF(LEFT(S20,9)="EXCEPTION","Segregation of Duties Conflict",IF(LEFT(P20,9)="EXCEPTION","Provisioning Approval Gap",IF(LEFT(T20,9)="EXCEPTION","Recertification Gap","N/A"))))</f>
        <v>N/A</v>
      </c>
    </row>
    <row r="21" customFormat="false" ht="15" hidden="false" customHeight="true" outlineLevel="0" collapsed="false">
      <c r="A21" s="9" t="str">
        <f aca="false">Access_Grants!A21</f>
        <v>AG-0020</v>
      </c>
      <c r="B21" s="9" t="str">
        <f aca="false">Access_Grants!B21</f>
        <v>E007</v>
      </c>
      <c r="C21" s="9" t="str">
        <f aca="false">Access_Grants!C21</f>
        <v>Wei Petrov</v>
      </c>
      <c r="D21" s="9" t="str">
        <f aca="false">Access_Grants!D21</f>
        <v>Customer Service</v>
      </c>
      <c r="E21" s="9" t="str">
        <f aca="false">Access_Grants!E21</f>
        <v>SYS-HRIS</v>
      </c>
      <c r="F21" s="9" t="str">
        <f aca="false">Access_Grants!F21</f>
        <v>R08</v>
      </c>
      <c r="G21" s="9" t="str">
        <f aca="false">Access_Grants!G21</f>
        <v>Employee Master Read-Only</v>
      </c>
      <c r="H21" s="9" t="str">
        <f aca="false">Access_Grants!H21</f>
        <v>Read</v>
      </c>
      <c r="I21" s="9" t="str">
        <f aca="false">Access_Grants!L21</f>
        <v>Revoked</v>
      </c>
      <c r="J21" s="10" t="n">
        <f aca="false">Access_Grants!I21</f>
        <v>45880</v>
      </c>
      <c r="K21" s="10" t="n">
        <f aca="false">IFERROR(INDEX(HR_Employees!$F$2:$F$51,MATCH(B21,HR_Employees!$A$2:$A$51,0)),"")</f>
        <v>46049</v>
      </c>
      <c r="L21" s="10" t="n">
        <f aca="false">IF(Access_Grants!M21="","",Access_Grants!M21)</f>
        <v>46054</v>
      </c>
      <c r="M21" s="9" t="str">
        <f aca="false">IF(K21="","N/A - Active Employee",IF(OR(I21="Active",AND(L21&lt;&gt;"",L21&gt;K21+5)),"EXCEPTION: TERMINATED USER - ACCESS NOT REVOKED TIMELY","OK - Revoked Within SLA"))</f>
        <v>OK - Revoked Within SLA</v>
      </c>
      <c r="N21" s="9" t="str">
        <f aca="false">Access_Grants!J21&amp;""</f>
        <v>MGR-09</v>
      </c>
      <c r="O21" s="9" t="str">
        <f aca="false">Access_Grants!K21&amp;""</f>
        <v>CHG-72021</v>
      </c>
      <c r="P21" s="9" t="str">
        <f aca="false">IF(OR(TRIM(N21)="",TRIM(O21)=""),"EXCEPTION: NO DOCUMENTED APPROVAL","OK - Approved")</f>
        <v>OK - Approved</v>
      </c>
      <c r="Q21" s="9" t="str">
        <f aca="false">IFERROR(INDEX(SoD_Conflict_Matrix!$D$2:$D$7,MATCH(F21,SoD_Conflict_Matrix!$B$2:$B$7,0)),IFERROR(INDEX(SoD_Conflict_Matrix!$B$2:$B$7,MATCH(F21,SoD_Conflict_Matrix!$D$2:$D$7,0)),""))</f>
        <v/>
      </c>
      <c r="R21" s="9" t="str">
        <f aca="false">IFERROR(INDEX(SoD_Conflict_Matrix!$E$2:$E$7,MATCH(F21,SoD_Conflict_Matrix!$B$2:$B$7,0)),IFERROR(INDEX(SoD_Conflict_Matrix!$C$2:$C$7,MATCH(F21,SoD_Conflict_Matrix!$D$2:$D$7,0)),""))</f>
        <v/>
      </c>
      <c r="S21" s="9" t="str">
        <f aca="false">IF(Q21="","No Conflict Rule Applies to This Role",IF(COUNTIFS(Access_Grants!$B$2:$B$175,B21,Access_Grants!$F$2:$F$175,Q21,Access_Grants!$L$2:$L$175,"Active")&gt;0,"EXCEPTION: SoD CONFLICT - ALSO HOLDS "&amp;R21,"OK - No Conflicting Role Held"))</f>
        <v>No Conflict Rule Applies to This Role</v>
      </c>
      <c r="T21" s="9" t="str">
        <f aca="false">IF(AND(H21="Admin",I21="Active"),IF(COUNTIFS(Recertifications!$B$2:$B$119,B21,Recertifications!$E$2:$E$119,F21,Recertifications!$K$2:$K$119,"&lt;&gt;")&gt;0,"OK - Recertified","EXCEPTION: PRIVILEGED ACCESS NEVER RECERTIFIED"),"N/A - Not Privileged")</f>
        <v>N/A - Not Privileged</v>
      </c>
      <c r="U21" s="9" t="str">
        <f aca="false">IF(OR(LEFT(M21,9)="EXCEPTION",LEFT(P21,9)="EXCEPTION",LEFT(S21,9)="EXCEPTION",LEFT(T21,9)="EXCEPTION"),"EXCEPTION","Clean")</f>
        <v>Clean</v>
      </c>
      <c r="V21" s="9" t="str">
        <f aca="false">IF(LEFT(M21,9)="EXCEPTION","Deprovisioning Control Gap",IF(LEFT(S21,9)="EXCEPTION","Segregation of Duties Conflict",IF(LEFT(P21,9)="EXCEPTION","Provisioning Approval Gap",IF(LEFT(T21,9)="EXCEPTION","Recertification Gap","N/A"))))</f>
        <v>N/A</v>
      </c>
    </row>
    <row r="22" customFormat="false" ht="15" hidden="false" customHeight="true" outlineLevel="0" collapsed="false">
      <c r="A22" s="9" t="str">
        <f aca="false">Access_Grants!A22</f>
        <v>AG-0021</v>
      </c>
      <c r="B22" s="9" t="str">
        <f aca="false">Access_Grants!B22</f>
        <v>E007</v>
      </c>
      <c r="C22" s="9" t="str">
        <f aca="false">Access_Grants!C22</f>
        <v>Wei Petrov</v>
      </c>
      <c r="D22" s="9" t="str">
        <f aca="false">Access_Grants!D22</f>
        <v>Customer Service</v>
      </c>
      <c r="E22" s="9" t="str">
        <f aca="false">Access_Grants!E22</f>
        <v>SYS-CRM</v>
      </c>
      <c r="F22" s="9" t="str">
        <f aca="false">Access_Grants!F22</f>
        <v>R11</v>
      </c>
      <c r="G22" s="9" t="str">
        <f aca="false">Access_Grants!G22</f>
        <v>Sales Order Entry</v>
      </c>
      <c r="H22" s="9" t="str">
        <f aca="false">Access_Grants!H22</f>
        <v>Write</v>
      </c>
      <c r="I22" s="9" t="str">
        <f aca="false">Access_Grants!L22</f>
        <v>Revoked</v>
      </c>
      <c r="J22" s="10" t="n">
        <f aca="false">Access_Grants!I22</f>
        <v>45835</v>
      </c>
      <c r="K22" s="10" t="n">
        <f aca="false">IFERROR(INDEX(HR_Employees!$F$2:$F$51,MATCH(B22,HR_Employees!$A$2:$A$51,0)),"")</f>
        <v>46049</v>
      </c>
      <c r="L22" s="10" t="n">
        <f aca="false">IF(Access_Grants!M22="","",Access_Grants!M22)</f>
        <v>46053</v>
      </c>
      <c r="M22" s="9" t="str">
        <f aca="false">IF(K22="","N/A - Active Employee",IF(OR(I22="Active",AND(L22&lt;&gt;"",L22&gt;K22+5)),"EXCEPTION: TERMINATED USER - ACCESS NOT REVOKED TIMELY","OK - Revoked Within SLA"))</f>
        <v>OK - Revoked Within SLA</v>
      </c>
      <c r="N22" s="9" t="str">
        <f aca="false">Access_Grants!J22&amp;""</f>
        <v>System Auto-Provision</v>
      </c>
      <c r="O22" s="9" t="str">
        <f aca="false">Access_Grants!K22&amp;""</f>
        <v>CHG-21114</v>
      </c>
      <c r="P22" s="9" t="str">
        <f aca="false">IF(OR(TRIM(N22)="",TRIM(O22)=""),"EXCEPTION: NO DOCUMENTED APPROVAL","OK - Approved")</f>
        <v>OK - Approved</v>
      </c>
      <c r="Q22" s="9" t="str">
        <f aca="false">IFERROR(INDEX(SoD_Conflict_Matrix!$D$2:$D$7,MATCH(F22,SoD_Conflict_Matrix!$B$2:$B$7,0)),IFERROR(INDEX(SoD_Conflict_Matrix!$B$2:$B$7,MATCH(F22,SoD_Conflict_Matrix!$D$2:$D$7,0)),""))</f>
        <v>R12</v>
      </c>
      <c r="R22" s="9" t="str">
        <f aca="false">IFERROR(INDEX(SoD_Conflict_Matrix!$E$2:$E$7,MATCH(F22,SoD_Conflict_Matrix!$B$2:$B$7,0)),IFERROR(INDEX(SoD_Conflict_Matrix!$C$2:$C$7,MATCH(F22,SoD_Conflict_Matrix!$D$2:$D$7,0)),""))</f>
        <v>Sales Credit Memo Approval</v>
      </c>
      <c r="S22" s="9" t="str">
        <f aca="false">IF(Q22="","No Conflict Rule Applies to This Role",IF(COUNTIFS(Access_Grants!$B$2:$B$175,B22,Access_Grants!$F$2:$F$175,Q22,Access_Grants!$L$2:$L$175,"Active")&gt;0,"EXCEPTION: SoD CONFLICT - ALSO HOLDS "&amp;R22,"OK - No Conflicting Role Held"))</f>
        <v>OK - No Conflicting Role Held</v>
      </c>
      <c r="T22" s="9" t="str">
        <f aca="false">IF(AND(H22="Admin",I22="Active"),IF(COUNTIFS(Recertifications!$B$2:$B$119,B22,Recertifications!$E$2:$E$119,F22,Recertifications!$K$2:$K$119,"&lt;&gt;")&gt;0,"OK - Recertified","EXCEPTION: PRIVILEGED ACCESS NEVER RECERTIFIED"),"N/A - Not Privileged")</f>
        <v>N/A - Not Privileged</v>
      </c>
      <c r="U22" s="9" t="str">
        <f aca="false">IF(OR(LEFT(M22,9)="EXCEPTION",LEFT(P22,9)="EXCEPTION",LEFT(S22,9)="EXCEPTION",LEFT(T22,9)="EXCEPTION"),"EXCEPTION","Clean")</f>
        <v>Clean</v>
      </c>
      <c r="V22" s="9" t="str">
        <f aca="false">IF(LEFT(M22,9)="EXCEPTION","Deprovisioning Control Gap",IF(LEFT(S22,9)="EXCEPTION","Segregation of Duties Conflict",IF(LEFT(P22,9)="EXCEPTION","Provisioning Approval Gap",IF(LEFT(T22,9)="EXCEPTION","Recertification Gap","N/A"))))</f>
        <v>N/A</v>
      </c>
    </row>
    <row r="23" customFormat="false" ht="15" hidden="false" customHeight="true" outlineLevel="0" collapsed="false">
      <c r="A23" s="9" t="str">
        <f aca="false">Access_Grants!A23</f>
        <v>AG-0022</v>
      </c>
      <c r="B23" s="9" t="str">
        <f aca="false">Access_Grants!B23</f>
        <v>E007</v>
      </c>
      <c r="C23" s="9" t="str">
        <f aca="false">Access_Grants!C23</f>
        <v>Wei Petrov</v>
      </c>
      <c r="D23" s="9" t="str">
        <f aca="false">Access_Grants!D23</f>
        <v>Customer Service</v>
      </c>
      <c r="E23" s="9" t="str">
        <f aca="false">Access_Grants!E23</f>
        <v>SYS-AD</v>
      </c>
      <c r="F23" s="9" t="str">
        <f aca="false">Access_Grants!F23</f>
        <v>R09</v>
      </c>
      <c r="G23" s="9" t="str">
        <f aca="false">Access_Grants!G23</f>
        <v>Standard Network User</v>
      </c>
      <c r="H23" s="9" t="str">
        <f aca="false">Access_Grants!H23</f>
        <v>Read</v>
      </c>
      <c r="I23" s="9" t="str">
        <f aca="false">Access_Grants!L23</f>
        <v>Active</v>
      </c>
      <c r="J23" s="10" t="n">
        <f aca="false">Access_Grants!I23</f>
        <v>46005</v>
      </c>
      <c r="K23" s="10" t="n">
        <f aca="false">IFERROR(INDEX(HR_Employees!$F$2:$F$51,MATCH(B23,HR_Employees!$A$2:$A$51,0)),"")</f>
        <v>46049</v>
      </c>
      <c r="L23" s="10" t="str">
        <f aca="false">IF(Access_Grants!M23="","",Access_Grants!M23)</f>
        <v/>
      </c>
      <c r="M23" s="9" t="str">
        <f aca="false">IF(K23="","N/A - Active Employee",IF(OR(I23="Active",AND(L23&lt;&gt;"",L23&gt;K23+5)),"EXCEPTION: TERMINATED USER - ACCESS NOT REVOKED TIMELY","OK - Revoked Within SLA"))</f>
        <v>EXCEPTION: TERMINATED USER - ACCESS NOT REVOKED TIMELY</v>
      </c>
      <c r="N23" s="9" t="str">
        <f aca="false">Access_Grants!J23&amp;""</f>
        <v>MGR-02</v>
      </c>
      <c r="O23" s="9" t="str">
        <f aca="false">Access_Grants!K23&amp;""</f>
        <v>CHG-40784</v>
      </c>
      <c r="P23" s="9" t="str">
        <f aca="false">IF(OR(TRIM(N23)="",TRIM(O23)=""),"EXCEPTION: NO DOCUMENTED APPROVAL","OK - Approved")</f>
        <v>OK - Approved</v>
      </c>
      <c r="Q23" s="9" t="str">
        <f aca="false">IFERROR(INDEX(SoD_Conflict_Matrix!$D$2:$D$7,MATCH(F23,SoD_Conflict_Matrix!$B$2:$B$7,0)),IFERROR(INDEX(SoD_Conflict_Matrix!$B$2:$B$7,MATCH(F23,SoD_Conflict_Matrix!$D$2:$D$7,0)),""))</f>
        <v/>
      </c>
      <c r="R23" s="9" t="str">
        <f aca="false">IFERROR(INDEX(SoD_Conflict_Matrix!$E$2:$E$7,MATCH(F23,SoD_Conflict_Matrix!$B$2:$B$7,0)),IFERROR(INDEX(SoD_Conflict_Matrix!$C$2:$C$7,MATCH(F23,SoD_Conflict_Matrix!$D$2:$D$7,0)),""))</f>
        <v/>
      </c>
      <c r="S23" s="9" t="str">
        <f aca="false">IF(Q23="","No Conflict Rule Applies to This Role",IF(COUNTIFS(Access_Grants!$B$2:$B$175,B23,Access_Grants!$F$2:$F$175,Q23,Access_Grants!$L$2:$L$175,"Active")&gt;0,"EXCEPTION: SoD CONFLICT - ALSO HOLDS "&amp;R23,"OK - No Conflicting Role Held"))</f>
        <v>No Conflict Rule Applies to This Role</v>
      </c>
      <c r="T23" s="9" t="str">
        <f aca="false">IF(AND(H23="Admin",I23="Active"),IF(COUNTIFS(Recertifications!$B$2:$B$119,B23,Recertifications!$E$2:$E$119,F23,Recertifications!$K$2:$K$119,"&lt;&gt;")&gt;0,"OK - Recertified","EXCEPTION: PRIVILEGED ACCESS NEVER RECERTIFIED"),"N/A - Not Privileged")</f>
        <v>N/A - Not Privileged</v>
      </c>
      <c r="U23" s="9" t="str">
        <f aca="false">IF(OR(LEFT(M23,9)="EXCEPTION",LEFT(P23,9)="EXCEPTION",LEFT(S23,9)="EXCEPTION",LEFT(T23,9)="EXCEPTION"),"EXCEPTION","Clean")</f>
        <v>EXCEPTION</v>
      </c>
      <c r="V23" s="9" t="str">
        <f aca="false">IF(LEFT(M23,9)="EXCEPTION","Deprovisioning Control Gap",IF(LEFT(S23,9)="EXCEPTION","Segregation of Duties Conflict",IF(LEFT(P23,9)="EXCEPTION","Provisioning Approval Gap",IF(LEFT(T23,9)="EXCEPTION","Recertification Gap","N/A"))))</f>
        <v>Deprovisioning Control Gap</v>
      </c>
    </row>
    <row r="24" customFormat="false" ht="15" hidden="false" customHeight="true" outlineLevel="0" collapsed="false">
      <c r="A24" s="9" t="str">
        <f aca="false">Access_Grants!A24</f>
        <v>AG-0023</v>
      </c>
      <c r="B24" s="9" t="str">
        <f aca="false">Access_Grants!B24</f>
        <v>E008</v>
      </c>
      <c r="C24" s="9" t="str">
        <f aca="false">Access_Grants!C24</f>
        <v>Diego Ferreira</v>
      </c>
      <c r="D24" s="9" t="str">
        <f aca="false">Access_Grants!D24</f>
        <v>Treasury</v>
      </c>
      <c r="E24" s="9" t="str">
        <f aca="false">Access_Grants!E24</f>
        <v>SYS-BANK</v>
      </c>
      <c r="F24" s="9" t="str">
        <f aca="false">Access_Grants!F24</f>
        <v>R14</v>
      </c>
      <c r="G24" s="9" t="str">
        <f aca="false">Access_Grants!G24</f>
        <v>Wire Approval / Release</v>
      </c>
      <c r="H24" s="9" t="str">
        <f aca="false">Access_Grants!H24</f>
        <v>Admin</v>
      </c>
      <c r="I24" s="9" t="str">
        <f aca="false">Access_Grants!L24</f>
        <v>Active</v>
      </c>
      <c r="J24" s="10" t="n">
        <f aca="false">Access_Grants!I24</f>
        <v>45552</v>
      </c>
      <c r="K24" s="10" t="n">
        <f aca="false">IFERROR(INDEX(HR_Employees!$F$2:$F$51,MATCH(B24,HR_Employees!$A$2:$A$51,0)),"")</f>
        <v>0</v>
      </c>
      <c r="L24" s="10" t="str">
        <f aca="false">IF(Access_Grants!M24="","",Access_Grants!M24)</f>
        <v/>
      </c>
      <c r="M24" s="9" t="str">
        <f aca="false">IF(K24="","N/A - Active Employee",IF(OR(I24="Active",AND(L24&lt;&gt;"",L24&gt;K24+5)),"EXCEPTION: TERMINATED USER - ACCESS NOT REVOKED TIMELY","OK - Revoked Within SLA"))</f>
        <v>N/A - Active Employee</v>
      </c>
      <c r="N24" s="9" t="str">
        <f aca="false">Access_Grants!J24&amp;""</f>
        <v>MGR-02</v>
      </c>
      <c r="O24" s="9" t="str">
        <f aca="false">Access_Grants!K24&amp;""</f>
        <v>CHG-69692</v>
      </c>
      <c r="P24" s="9" t="str">
        <f aca="false">IF(OR(TRIM(N24)="",TRIM(O24)=""),"EXCEPTION: NO DOCUMENTED APPROVAL","OK - Approved")</f>
        <v>OK - Approved</v>
      </c>
      <c r="Q24" s="9" t="str">
        <f aca="false">IFERROR(INDEX(SoD_Conflict_Matrix!$D$2:$D$7,MATCH(F24,SoD_Conflict_Matrix!$B$2:$B$7,0)),IFERROR(INDEX(SoD_Conflict_Matrix!$B$2:$B$7,MATCH(F24,SoD_Conflict_Matrix!$D$2:$D$7,0)),""))</f>
        <v>R13</v>
      </c>
      <c r="R24" s="9" t="str">
        <f aca="false">IFERROR(INDEX(SoD_Conflict_Matrix!$E$2:$E$7,MATCH(F24,SoD_Conflict_Matrix!$B$2:$B$7,0)),IFERROR(INDEX(SoD_Conflict_Matrix!$C$2:$C$7,MATCH(F24,SoD_Conflict_Matrix!$D$2:$D$7,0)),""))</f>
        <v>Wire Initiation</v>
      </c>
      <c r="S24" s="9" t="str">
        <f aca="false">IF(Q24="","No Conflict Rule Applies to This Role",IF(COUNTIFS(Access_Grants!$B$2:$B$175,B24,Access_Grants!$F$2:$F$175,Q24,Access_Grants!$L$2:$L$175,"Active")&gt;0,"EXCEPTION: SoD CONFLICT - ALSO HOLDS "&amp;R24,"OK - No Conflicting Role Held"))</f>
        <v>OK - No Conflicting Role Held</v>
      </c>
      <c r="T24" s="9" t="str">
        <f aca="false">IF(AND(H24="Admin",I24="Active"),IF(COUNTIFS(Recertifications!$B$2:$B$119,B24,Recertifications!$E$2:$E$119,F24,Recertifications!$K$2:$K$119,"&lt;&gt;")&gt;0,"OK - Recertified","EXCEPTION: PRIVILEGED ACCESS NEVER RECERTIFIED"),"N/A - Not Privileged")</f>
        <v>OK - Recertified</v>
      </c>
      <c r="U24" s="9" t="str">
        <f aca="false">IF(OR(LEFT(M24,9)="EXCEPTION",LEFT(P24,9)="EXCEPTION",LEFT(S24,9)="EXCEPTION",LEFT(T24,9)="EXCEPTION"),"EXCEPTION","Clean")</f>
        <v>Clean</v>
      </c>
      <c r="V24" s="9" t="str">
        <f aca="false">IF(LEFT(M24,9)="EXCEPTION","Deprovisioning Control Gap",IF(LEFT(S24,9)="EXCEPTION","Segregation of Duties Conflict",IF(LEFT(P24,9)="EXCEPTION","Provisioning Approval Gap",IF(LEFT(T24,9)="EXCEPTION","Recertification Gap","N/A"))))</f>
        <v>N/A</v>
      </c>
    </row>
    <row r="25" customFormat="false" ht="15" hidden="false" customHeight="true" outlineLevel="0" collapsed="false">
      <c r="A25" s="9" t="str">
        <f aca="false">Access_Grants!A25</f>
        <v>AG-0024</v>
      </c>
      <c r="B25" s="9" t="str">
        <f aca="false">Access_Grants!B25</f>
        <v>E008</v>
      </c>
      <c r="C25" s="9" t="str">
        <f aca="false">Access_Grants!C25</f>
        <v>Diego Ferreira</v>
      </c>
      <c r="D25" s="9" t="str">
        <f aca="false">Access_Grants!D25</f>
        <v>Treasury</v>
      </c>
      <c r="E25" s="9" t="str">
        <f aca="false">Access_Grants!E25</f>
        <v>SYS-AD</v>
      </c>
      <c r="F25" s="9" t="str">
        <f aca="false">Access_Grants!F25</f>
        <v>R09</v>
      </c>
      <c r="G25" s="9" t="str">
        <f aca="false">Access_Grants!G25</f>
        <v>Standard Network User</v>
      </c>
      <c r="H25" s="9" t="str">
        <f aca="false">Access_Grants!H25</f>
        <v>Read</v>
      </c>
      <c r="I25" s="9" t="str">
        <f aca="false">Access_Grants!L25</f>
        <v>Active</v>
      </c>
      <c r="J25" s="10" t="n">
        <f aca="false">Access_Grants!I25</f>
        <v>45126</v>
      </c>
      <c r="K25" s="10" t="n">
        <f aca="false">IFERROR(INDEX(HR_Employees!$F$2:$F$51,MATCH(B25,HR_Employees!$A$2:$A$51,0)),"")</f>
        <v>0</v>
      </c>
      <c r="L25" s="10" t="str">
        <f aca="false">IF(Access_Grants!M25="","",Access_Grants!M25)</f>
        <v/>
      </c>
      <c r="M25" s="9" t="str">
        <f aca="false">IF(K25="","N/A - Active Employee",IF(OR(I25="Active",AND(L25&lt;&gt;"",L25&gt;K25+5)),"EXCEPTION: TERMINATED USER - ACCESS NOT REVOKED TIMELY","OK - Revoked Within SLA"))</f>
        <v>N/A - Active Employee</v>
      </c>
      <c r="N25" s="9" t="str">
        <f aca="false">Access_Grants!J25&amp;""</f>
        <v>MGR-07</v>
      </c>
      <c r="O25" s="9" t="str">
        <f aca="false">Access_Grants!K25&amp;""</f>
        <v>CHG-74799</v>
      </c>
      <c r="P25" s="9" t="str">
        <f aca="false">IF(OR(TRIM(N25)="",TRIM(O25)=""),"EXCEPTION: NO DOCUMENTED APPROVAL","OK - Approved")</f>
        <v>OK - Approved</v>
      </c>
      <c r="Q25" s="9" t="str">
        <f aca="false">IFERROR(INDEX(SoD_Conflict_Matrix!$D$2:$D$7,MATCH(F25,SoD_Conflict_Matrix!$B$2:$B$7,0)),IFERROR(INDEX(SoD_Conflict_Matrix!$B$2:$B$7,MATCH(F25,SoD_Conflict_Matrix!$D$2:$D$7,0)),""))</f>
        <v/>
      </c>
      <c r="R25" s="9" t="str">
        <f aca="false">IFERROR(INDEX(SoD_Conflict_Matrix!$E$2:$E$7,MATCH(F25,SoD_Conflict_Matrix!$B$2:$B$7,0)),IFERROR(INDEX(SoD_Conflict_Matrix!$C$2:$C$7,MATCH(F25,SoD_Conflict_Matrix!$D$2:$D$7,0)),""))</f>
        <v/>
      </c>
      <c r="S25" s="9" t="str">
        <f aca="false">IF(Q25="","No Conflict Rule Applies to This Role",IF(COUNTIFS(Access_Grants!$B$2:$B$175,B25,Access_Grants!$F$2:$F$175,Q25,Access_Grants!$L$2:$L$175,"Active")&gt;0,"EXCEPTION: SoD CONFLICT - ALSO HOLDS "&amp;R25,"OK - No Conflicting Role Held"))</f>
        <v>No Conflict Rule Applies to This Role</v>
      </c>
      <c r="T25" s="9" t="str">
        <f aca="false">IF(AND(H25="Admin",I25="Active"),IF(COUNTIFS(Recertifications!$B$2:$B$119,B25,Recertifications!$E$2:$E$119,F25,Recertifications!$K$2:$K$119,"&lt;&gt;")&gt;0,"OK - Recertified","EXCEPTION: PRIVILEGED ACCESS NEVER RECERTIFIED"),"N/A - Not Privileged")</f>
        <v>N/A - Not Privileged</v>
      </c>
      <c r="U25" s="9" t="str">
        <f aca="false">IF(OR(LEFT(M25,9)="EXCEPTION",LEFT(P25,9)="EXCEPTION",LEFT(S25,9)="EXCEPTION",LEFT(T25,9)="EXCEPTION"),"EXCEPTION","Clean")</f>
        <v>Clean</v>
      </c>
      <c r="V25" s="9" t="str">
        <f aca="false">IF(LEFT(M25,9)="EXCEPTION","Deprovisioning Control Gap",IF(LEFT(S25,9)="EXCEPTION","Segregation of Duties Conflict",IF(LEFT(P25,9)="EXCEPTION","Provisioning Approval Gap",IF(LEFT(T25,9)="EXCEPTION","Recertification Gap","N/A"))))</f>
        <v>N/A</v>
      </c>
    </row>
    <row r="26" customFormat="false" ht="15" hidden="false" customHeight="true" outlineLevel="0" collapsed="false">
      <c r="A26" s="9" t="str">
        <f aca="false">Access_Grants!A26</f>
        <v>AG-0025</v>
      </c>
      <c r="B26" s="9" t="str">
        <f aca="false">Access_Grants!B26</f>
        <v>E008</v>
      </c>
      <c r="C26" s="9" t="str">
        <f aca="false">Access_Grants!C26</f>
        <v>Diego Ferreira</v>
      </c>
      <c r="D26" s="9" t="str">
        <f aca="false">Access_Grants!D26</f>
        <v>Treasury</v>
      </c>
      <c r="E26" s="9" t="str">
        <f aca="false">Access_Grants!E26</f>
        <v>SYS-HRIS</v>
      </c>
      <c r="F26" s="9" t="str">
        <f aca="false">Access_Grants!F26</f>
        <v>R06</v>
      </c>
      <c r="G26" s="9" t="str">
        <f aca="false">Access_Grants!G26</f>
        <v>Payroll Data Entry</v>
      </c>
      <c r="H26" s="9" t="str">
        <f aca="false">Access_Grants!H26</f>
        <v>Write</v>
      </c>
      <c r="I26" s="9" t="str">
        <f aca="false">Access_Grants!L26</f>
        <v>Active</v>
      </c>
      <c r="J26" s="10" t="n">
        <f aca="false">Access_Grants!I26</f>
        <v>45631</v>
      </c>
      <c r="K26" s="10" t="n">
        <f aca="false">IFERROR(INDEX(HR_Employees!$F$2:$F$51,MATCH(B26,HR_Employees!$A$2:$A$51,0)),"")</f>
        <v>0</v>
      </c>
      <c r="L26" s="10" t="str">
        <f aca="false">IF(Access_Grants!M26="","",Access_Grants!M26)</f>
        <v/>
      </c>
      <c r="M26" s="9" t="str">
        <f aca="false">IF(K26="","N/A - Active Employee",IF(OR(I26="Active",AND(L26&lt;&gt;"",L26&gt;K26+5)),"EXCEPTION: TERMINATED USER - ACCESS NOT REVOKED TIMELY","OK - Revoked Within SLA"))</f>
        <v>N/A - Active Employee</v>
      </c>
      <c r="N26" s="9" t="str">
        <f aca="false">Access_Grants!J26&amp;""</f>
        <v>MGR-01</v>
      </c>
      <c r="O26" s="9" t="str">
        <f aca="false">Access_Grants!K26&amp;""</f>
        <v>CHG-23970</v>
      </c>
      <c r="P26" s="9" t="str">
        <f aca="false">IF(OR(TRIM(N26)="",TRIM(O26)=""),"EXCEPTION: NO DOCUMENTED APPROVAL","OK - Approved")</f>
        <v>OK - Approved</v>
      </c>
      <c r="Q26" s="9" t="str">
        <f aca="false">IFERROR(INDEX(SoD_Conflict_Matrix!$D$2:$D$7,MATCH(F26,SoD_Conflict_Matrix!$B$2:$B$7,0)),IFERROR(INDEX(SoD_Conflict_Matrix!$B$2:$B$7,MATCH(F26,SoD_Conflict_Matrix!$D$2:$D$7,0)),""))</f>
        <v>R07</v>
      </c>
      <c r="R26" s="9" t="str">
        <f aca="false">IFERROR(INDEX(SoD_Conflict_Matrix!$E$2:$E$7,MATCH(F26,SoD_Conflict_Matrix!$B$2:$B$7,0)),IFERROR(INDEX(SoD_Conflict_Matrix!$C$2:$C$7,MATCH(F26,SoD_Conflict_Matrix!$D$2:$D$7,0)),""))</f>
        <v>Payroll Approval / Release</v>
      </c>
      <c r="S26" s="9" t="str">
        <f aca="false">IF(Q26="","No Conflict Rule Applies to This Role",IF(COUNTIFS(Access_Grants!$B$2:$B$175,B26,Access_Grants!$F$2:$F$175,Q26,Access_Grants!$L$2:$L$175,"Active")&gt;0,"EXCEPTION: SoD CONFLICT - ALSO HOLDS "&amp;R26,"OK - No Conflicting Role Held"))</f>
        <v>EXCEPTION: SoD CONFLICT - ALSO HOLDS Payroll Approval / Release</v>
      </c>
      <c r="T26" s="9" t="str">
        <f aca="false">IF(AND(H26="Admin",I26="Active"),IF(COUNTIFS(Recertifications!$B$2:$B$119,B26,Recertifications!$E$2:$E$119,F26,Recertifications!$K$2:$K$119,"&lt;&gt;")&gt;0,"OK - Recertified","EXCEPTION: PRIVILEGED ACCESS NEVER RECERTIFIED"),"N/A - Not Privileged")</f>
        <v>N/A - Not Privileged</v>
      </c>
      <c r="U26" s="9" t="str">
        <f aca="false">IF(OR(LEFT(M26,9)="EXCEPTION",LEFT(P26,9)="EXCEPTION",LEFT(S26,9)="EXCEPTION",LEFT(T26,9)="EXCEPTION"),"EXCEPTION","Clean")</f>
        <v>EXCEPTION</v>
      </c>
      <c r="V26" s="9" t="str">
        <f aca="false">IF(LEFT(M26,9)="EXCEPTION","Deprovisioning Control Gap",IF(LEFT(S26,9)="EXCEPTION","Segregation of Duties Conflict",IF(LEFT(P26,9)="EXCEPTION","Provisioning Approval Gap",IF(LEFT(T26,9)="EXCEPTION","Recertification Gap","N/A"))))</f>
        <v>Segregation of Duties Conflict</v>
      </c>
    </row>
    <row r="27" customFormat="false" ht="15" hidden="false" customHeight="true" outlineLevel="0" collapsed="false">
      <c r="A27" s="9" t="str">
        <f aca="false">Access_Grants!A27</f>
        <v>AG-0026</v>
      </c>
      <c r="B27" s="9" t="str">
        <f aca="false">Access_Grants!B27</f>
        <v>E008</v>
      </c>
      <c r="C27" s="9" t="str">
        <f aca="false">Access_Grants!C27</f>
        <v>Diego Ferreira</v>
      </c>
      <c r="D27" s="9" t="str">
        <f aca="false">Access_Grants!D27</f>
        <v>Treasury</v>
      </c>
      <c r="E27" s="9" t="str">
        <f aca="false">Access_Grants!E27</f>
        <v>SYS-HRIS</v>
      </c>
      <c r="F27" s="9" t="str">
        <f aca="false">Access_Grants!F27</f>
        <v>R07</v>
      </c>
      <c r="G27" s="9" t="str">
        <f aca="false">Access_Grants!G27</f>
        <v>Payroll Approval / Release</v>
      </c>
      <c r="H27" s="9" t="str">
        <f aca="false">Access_Grants!H27</f>
        <v>Admin</v>
      </c>
      <c r="I27" s="9" t="str">
        <f aca="false">Access_Grants!L27</f>
        <v>Active</v>
      </c>
      <c r="J27" s="10" t="n">
        <f aca="false">Access_Grants!I27</f>
        <v>45750</v>
      </c>
      <c r="K27" s="10" t="n">
        <f aca="false">IFERROR(INDEX(HR_Employees!$F$2:$F$51,MATCH(B27,HR_Employees!$A$2:$A$51,0)),"")</f>
        <v>0</v>
      </c>
      <c r="L27" s="10" t="str">
        <f aca="false">IF(Access_Grants!M27="","",Access_Grants!M27)</f>
        <v/>
      </c>
      <c r="M27" s="9" t="str">
        <f aca="false">IF(K27="","N/A - Active Employee",IF(OR(I27="Active",AND(L27&lt;&gt;"",L27&gt;K27+5)),"EXCEPTION: TERMINATED USER - ACCESS NOT REVOKED TIMELY","OK - Revoked Within SLA"))</f>
        <v>N/A - Active Employee</v>
      </c>
      <c r="N27" s="9" t="str">
        <f aca="false">Access_Grants!J27&amp;""</f>
        <v/>
      </c>
      <c r="O27" s="9" t="str">
        <f aca="false">Access_Grants!K27&amp;""</f>
        <v>CHG-70889</v>
      </c>
      <c r="P27" s="9" t="str">
        <f aca="false">IF(OR(TRIM(N27)="",TRIM(O27)=""),"EXCEPTION: NO DOCUMENTED APPROVAL","OK - Approved")</f>
        <v>EXCEPTION: NO DOCUMENTED APPROVAL</v>
      </c>
      <c r="Q27" s="9" t="str">
        <f aca="false">IFERROR(INDEX(SoD_Conflict_Matrix!$D$2:$D$7,MATCH(F27,SoD_Conflict_Matrix!$B$2:$B$7,0)),IFERROR(INDEX(SoD_Conflict_Matrix!$B$2:$B$7,MATCH(F27,SoD_Conflict_Matrix!$D$2:$D$7,0)),""))</f>
        <v>R06</v>
      </c>
      <c r="R27" s="9" t="str">
        <f aca="false">IFERROR(INDEX(SoD_Conflict_Matrix!$E$2:$E$7,MATCH(F27,SoD_Conflict_Matrix!$B$2:$B$7,0)),IFERROR(INDEX(SoD_Conflict_Matrix!$C$2:$C$7,MATCH(F27,SoD_Conflict_Matrix!$D$2:$D$7,0)),""))</f>
        <v>Payroll Data Entry</v>
      </c>
      <c r="S27" s="9" t="str">
        <f aca="false">IF(Q27="","No Conflict Rule Applies to This Role",IF(COUNTIFS(Access_Grants!$B$2:$B$175,B27,Access_Grants!$F$2:$F$175,Q27,Access_Grants!$L$2:$L$175,"Active")&gt;0,"EXCEPTION: SoD CONFLICT - ALSO HOLDS "&amp;R27,"OK - No Conflicting Role Held"))</f>
        <v>EXCEPTION: SoD CONFLICT - ALSO HOLDS Payroll Data Entry</v>
      </c>
      <c r="T27" s="9" t="str">
        <f aca="false">IF(AND(H27="Admin",I27="Active"),IF(COUNTIFS(Recertifications!$B$2:$B$119,B27,Recertifications!$E$2:$E$119,F27,Recertifications!$K$2:$K$119,"&lt;&gt;")&gt;0,"OK - Recertified","EXCEPTION: PRIVILEGED ACCESS NEVER RECERTIFIED"),"N/A - Not Privileged")</f>
        <v>OK - Recertified</v>
      </c>
      <c r="U27" s="9" t="str">
        <f aca="false">IF(OR(LEFT(M27,9)="EXCEPTION",LEFT(P27,9)="EXCEPTION",LEFT(S27,9)="EXCEPTION",LEFT(T27,9)="EXCEPTION"),"EXCEPTION","Clean")</f>
        <v>EXCEPTION</v>
      </c>
      <c r="V27" s="9" t="str">
        <f aca="false">IF(LEFT(M27,9)="EXCEPTION","Deprovisioning Control Gap",IF(LEFT(S27,9)="EXCEPTION","Segregation of Duties Conflict",IF(LEFT(P27,9)="EXCEPTION","Provisioning Approval Gap",IF(LEFT(T27,9)="EXCEPTION","Recertification Gap","N/A"))))</f>
        <v>Segregation of Duties Conflict</v>
      </c>
    </row>
    <row r="28" customFormat="false" ht="15" hidden="false" customHeight="true" outlineLevel="0" collapsed="false">
      <c r="A28" s="9" t="str">
        <f aca="false">Access_Grants!A28</f>
        <v>AG-0027</v>
      </c>
      <c r="B28" s="9" t="str">
        <f aca="false">Access_Grants!B28</f>
        <v>E009</v>
      </c>
      <c r="C28" s="9" t="str">
        <f aca="false">Access_Grants!C28</f>
        <v>Omar Diallo</v>
      </c>
      <c r="D28" s="9" t="str">
        <f aca="false">Access_Grants!D28</f>
        <v>IT Operations</v>
      </c>
      <c r="E28" s="9" t="str">
        <f aca="false">Access_Grants!E28</f>
        <v>SYS-AD</v>
      </c>
      <c r="F28" s="9" t="str">
        <f aca="false">Access_Grants!F28</f>
        <v>R10</v>
      </c>
      <c r="G28" s="9" t="str">
        <f aca="false">Access_Grants!G28</f>
        <v>Domain Administrator</v>
      </c>
      <c r="H28" s="9" t="str">
        <f aca="false">Access_Grants!H28</f>
        <v>Admin</v>
      </c>
      <c r="I28" s="9" t="str">
        <f aca="false">Access_Grants!L28</f>
        <v>Active</v>
      </c>
      <c r="J28" s="10" t="n">
        <f aca="false">Access_Grants!I28</f>
        <v>45153</v>
      </c>
      <c r="K28" s="10" t="n">
        <f aca="false">IFERROR(INDEX(HR_Employees!$F$2:$F$51,MATCH(B28,HR_Employees!$A$2:$A$51,0)),"")</f>
        <v>0</v>
      </c>
      <c r="L28" s="10" t="str">
        <f aca="false">IF(Access_Grants!M28="","",Access_Grants!M28)</f>
        <v/>
      </c>
      <c r="M28" s="9" t="str">
        <f aca="false">IF(K28="","N/A - Active Employee",IF(OR(I28="Active",AND(L28&lt;&gt;"",L28&gt;K28+5)),"EXCEPTION: TERMINATED USER - ACCESS NOT REVOKED TIMELY","OK - Revoked Within SLA"))</f>
        <v>N/A - Active Employee</v>
      </c>
      <c r="N28" s="9" t="str">
        <f aca="false">Access_Grants!J28&amp;""</f>
        <v>MGR-10</v>
      </c>
      <c r="O28" s="9" t="str">
        <f aca="false">Access_Grants!K28&amp;""</f>
        <v>CHG-76162</v>
      </c>
      <c r="P28" s="9" t="str">
        <f aca="false">IF(OR(TRIM(N28)="",TRIM(O28)=""),"EXCEPTION: NO DOCUMENTED APPROVAL","OK - Approved")</f>
        <v>OK - Approved</v>
      </c>
      <c r="Q28" s="9" t="str">
        <f aca="false">IFERROR(INDEX(SoD_Conflict_Matrix!$D$2:$D$7,MATCH(F28,SoD_Conflict_Matrix!$B$2:$B$7,0)),IFERROR(INDEX(SoD_Conflict_Matrix!$B$2:$B$7,MATCH(F28,SoD_Conflict_Matrix!$D$2:$D$7,0)),""))</f>
        <v/>
      </c>
      <c r="R28" s="9" t="str">
        <f aca="false">IFERROR(INDEX(SoD_Conflict_Matrix!$E$2:$E$7,MATCH(F28,SoD_Conflict_Matrix!$B$2:$B$7,0)),IFERROR(INDEX(SoD_Conflict_Matrix!$C$2:$C$7,MATCH(F28,SoD_Conflict_Matrix!$D$2:$D$7,0)),""))</f>
        <v/>
      </c>
      <c r="S28" s="9" t="str">
        <f aca="false">IF(Q28="","No Conflict Rule Applies to This Role",IF(COUNTIFS(Access_Grants!$B$2:$B$175,B28,Access_Grants!$F$2:$F$175,Q28,Access_Grants!$L$2:$L$175,"Active")&gt;0,"EXCEPTION: SoD CONFLICT - ALSO HOLDS "&amp;R28,"OK - No Conflicting Role Held"))</f>
        <v>No Conflict Rule Applies to This Role</v>
      </c>
      <c r="T28" s="9" t="str">
        <f aca="false">IF(AND(H28="Admin",I28="Active"),IF(COUNTIFS(Recertifications!$B$2:$B$119,B28,Recertifications!$E$2:$E$119,F28,Recertifications!$K$2:$K$119,"&lt;&gt;")&gt;0,"OK - Recertified","EXCEPTION: PRIVILEGED ACCESS NEVER RECERTIFIED"),"N/A - Not Privileged")</f>
        <v>EXCEPTION: PRIVILEGED ACCESS NEVER RECERTIFIED</v>
      </c>
      <c r="U28" s="9" t="str">
        <f aca="false">IF(OR(LEFT(M28,9)="EXCEPTION",LEFT(P28,9)="EXCEPTION",LEFT(S28,9)="EXCEPTION",LEFT(T28,9)="EXCEPTION"),"EXCEPTION","Clean")</f>
        <v>EXCEPTION</v>
      </c>
      <c r="V28" s="9" t="str">
        <f aca="false">IF(LEFT(M28,9)="EXCEPTION","Deprovisioning Control Gap",IF(LEFT(S28,9)="EXCEPTION","Segregation of Duties Conflict",IF(LEFT(P28,9)="EXCEPTION","Provisioning Approval Gap",IF(LEFT(T28,9)="EXCEPTION","Recertification Gap","N/A"))))</f>
        <v>Recertification Gap</v>
      </c>
    </row>
    <row r="29" customFormat="false" ht="15" hidden="false" customHeight="true" outlineLevel="0" collapsed="false">
      <c r="A29" s="9" t="str">
        <f aca="false">Access_Grants!A29</f>
        <v>AG-0028</v>
      </c>
      <c r="B29" s="9" t="str">
        <f aca="false">Access_Grants!B29</f>
        <v>E009</v>
      </c>
      <c r="C29" s="9" t="str">
        <f aca="false">Access_Grants!C29</f>
        <v>Omar Diallo</v>
      </c>
      <c r="D29" s="9" t="str">
        <f aca="false">Access_Grants!D29</f>
        <v>IT Operations</v>
      </c>
      <c r="E29" s="9" t="str">
        <f aca="false">Access_Grants!E29</f>
        <v>SYS-HRIS</v>
      </c>
      <c r="F29" s="9" t="str">
        <f aca="false">Access_Grants!F29</f>
        <v>R08</v>
      </c>
      <c r="G29" s="9" t="str">
        <f aca="false">Access_Grants!G29</f>
        <v>Employee Master Read-Only</v>
      </c>
      <c r="H29" s="9" t="str">
        <f aca="false">Access_Grants!H29</f>
        <v>Read</v>
      </c>
      <c r="I29" s="9" t="str">
        <f aca="false">Access_Grants!L29</f>
        <v>Active</v>
      </c>
      <c r="J29" s="10" t="n">
        <f aca="false">Access_Grants!I29</f>
        <v>45155</v>
      </c>
      <c r="K29" s="10" t="n">
        <f aca="false">IFERROR(INDEX(HR_Employees!$F$2:$F$51,MATCH(B29,HR_Employees!$A$2:$A$51,0)),"")</f>
        <v>0</v>
      </c>
      <c r="L29" s="10" t="str">
        <f aca="false">IF(Access_Grants!M29="","",Access_Grants!M29)</f>
        <v/>
      </c>
      <c r="M29" s="9" t="str">
        <f aca="false">IF(K29="","N/A - Active Employee",IF(OR(I29="Active",AND(L29&lt;&gt;"",L29&gt;K29+5)),"EXCEPTION: TERMINATED USER - ACCESS NOT REVOKED TIMELY","OK - Revoked Within SLA"))</f>
        <v>N/A - Active Employee</v>
      </c>
      <c r="N29" s="9" t="str">
        <f aca="false">Access_Grants!J29&amp;""</f>
        <v>MGR-03</v>
      </c>
      <c r="O29" s="9" t="str">
        <f aca="false">Access_Grants!K29&amp;""</f>
        <v>CHG-72216</v>
      </c>
      <c r="P29" s="9" t="str">
        <f aca="false">IF(OR(TRIM(N29)="",TRIM(O29)=""),"EXCEPTION: NO DOCUMENTED APPROVAL","OK - Approved")</f>
        <v>OK - Approved</v>
      </c>
      <c r="Q29" s="9" t="str">
        <f aca="false">IFERROR(INDEX(SoD_Conflict_Matrix!$D$2:$D$7,MATCH(F29,SoD_Conflict_Matrix!$B$2:$B$7,0)),IFERROR(INDEX(SoD_Conflict_Matrix!$B$2:$B$7,MATCH(F29,SoD_Conflict_Matrix!$D$2:$D$7,0)),""))</f>
        <v/>
      </c>
      <c r="R29" s="9" t="str">
        <f aca="false">IFERROR(INDEX(SoD_Conflict_Matrix!$E$2:$E$7,MATCH(F29,SoD_Conflict_Matrix!$B$2:$B$7,0)),IFERROR(INDEX(SoD_Conflict_Matrix!$C$2:$C$7,MATCH(F29,SoD_Conflict_Matrix!$D$2:$D$7,0)),""))</f>
        <v/>
      </c>
      <c r="S29" s="9" t="str">
        <f aca="false">IF(Q29="","No Conflict Rule Applies to This Role",IF(COUNTIFS(Access_Grants!$B$2:$B$175,B29,Access_Grants!$F$2:$F$175,Q29,Access_Grants!$L$2:$L$175,"Active")&gt;0,"EXCEPTION: SoD CONFLICT - ALSO HOLDS "&amp;R29,"OK - No Conflicting Role Held"))</f>
        <v>No Conflict Rule Applies to This Role</v>
      </c>
      <c r="T29" s="9" t="str">
        <f aca="false">IF(AND(H29="Admin",I29="Active"),IF(COUNTIFS(Recertifications!$B$2:$B$119,B29,Recertifications!$E$2:$E$119,F29,Recertifications!$K$2:$K$119,"&lt;&gt;")&gt;0,"OK - Recertified","EXCEPTION: PRIVILEGED ACCESS NEVER RECERTIFIED"),"N/A - Not Privileged")</f>
        <v>N/A - Not Privileged</v>
      </c>
      <c r="U29" s="9" t="str">
        <f aca="false">IF(OR(LEFT(M29,9)="EXCEPTION",LEFT(P29,9)="EXCEPTION",LEFT(S29,9)="EXCEPTION",LEFT(T29,9)="EXCEPTION"),"EXCEPTION","Clean")</f>
        <v>Clean</v>
      </c>
      <c r="V29" s="9" t="str">
        <f aca="false">IF(LEFT(M29,9)="EXCEPTION","Deprovisioning Control Gap",IF(LEFT(S29,9)="EXCEPTION","Segregation of Duties Conflict",IF(LEFT(P29,9)="EXCEPTION","Provisioning Approval Gap",IF(LEFT(T29,9)="EXCEPTION","Recertification Gap","N/A"))))</f>
        <v>N/A</v>
      </c>
    </row>
    <row r="30" customFormat="false" ht="15" hidden="false" customHeight="true" outlineLevel="0" collapsed="false">
      <c r="A30" s="9" t="str">
        <f aca="false">Access_Grants!A30</f>
        <v>AG-0029</v>
      </c>
      <c r="B30" s="9" t="str">
        <f aca="false">Access_Grants!B30</f>
        <v>E009</v>
      </c>
      <c r="C30" s="9" t="str">
        <f aca="false">Access_Grants!C30</f>
        <v>Omar Diallo</v>
      </c>
      <c r="D30" s="9" t="str">
        <f aca="false">Access_Grants!D30</f>
        <v>IT Operations</v>
      </c>
      <c r="E30" s="9" t="str">
        <f aca="false">Access_Grants!E30</f>
        <v>SYS-AD</v>
      </c>
      <c r="F30" s="9" t="str">
        <f aca="false">Access_Grants!F30</f>
        <v>R09</v>
      </c>
      <c r="G30" s="9" t="str">
        <f aca="false">Access_Grants!G30</f>
        <v>Standard Network User</v>
      </c>
      <c r="H30" s="9" t="str">
        <f aca="false">Access_Grants!H30</f>
        <v>Read</v>
      </c>
      <c r="I30" s="9" t="str">
        <f aca="false">Access_Grants!L30</f>
        <v>Active</v>
      </c>
      <c r="J30" s="10" t="n">
        <f aca="false">Access_Grants!I30</f>
        <v>45253</v>
      </c>
      <c r="K30" s="10" t="n">
        <f aca="false">IFERROR(INDEX(HR_Employees!$F$2:$F$51,MATCH(B30,HR_Employees!$A$2:$A$51,0)),"")</f>
        <v>0</v>
      </c>
      <c r="L30" s="10" t="str">
        <f aca="false">IF(Access_Grants!M30="","",Access_Grants!M30)</f>
        <v/>
      </c>
      <c r="M30" s="9" t="str">
        <f aca="false">IF(K30="","N/A - Active Employee",IF(OR(I30="Active",AND(L30&lt;&gt;"",L30&gt;K30+5)),"EXCEPTION: TERMINATED USER - ACCESS NOT REVOKED TIMELY","OK - Revoked Within SLA"))</f>
        <v>N/A - Active Employee</v>
      </c>
      <c r="N30" s="9" t="str">
        <f aca="false">Access_Grants!J30&amp;""</f>
        <v>MGR-05</v>
      </c>
      <c r="O30" s="9" t="str">
        <f aca="false">Access_Grants!K30&amp;""</f>
        <v>CHG-78327</v>
      </c>
      <c r="P30" s="9" t="str">
        <f aca="false">IF(OR(TRIM(N30)="",TRIM(O30)=""),"EXCEPTION: NO DOCUMENTED APPROVAL","OK - Approved")</f>
        <v>OK - Approved</v>
      </c>
      <c r="Q30" s="9" t="str">
        <f aca="false">IFERROR(INDEX(SoD_Conflict_Matrix!$D$2:$D$7,MATCH(F30,SoD_Conflict_Matrix!$B$2:$B$7,0)),IFERROR(INDEX(SoD_Conflict_Matrix!$B$2:$B$7,MATCH(F30,SoD_Conflict_Matrix!$D$2:$D$7,0)),""))</f>
        <v/>
      </c>
      <c r="R30" s="9" t="str">
        <f aca="false">IFERROR(INDEX(SoD_Conflict_Matrix!$E$2:$E$7,MATCH(F30,SoD_Conflict_Matrix!$B$2:$B$7,0)),IFERROR(INDEX(SoD_Conflict_Matrix!$C$2:$C$7,MATCH(F30,SoD_Conflict_Matrix!$D$2:$D$7,0)),""))</f>
        <v/>
      </c>
      <c r="S30" s="9" t="str">
        <f aca="false">IF(Q30="","No Conflict Rule Applies to This Role",IF(COUNTIFS(Access_Grants!$B$2:$B$175,B30,Access_Grants!$F$2:$F$175,Q30,Access_Grants!$L$2:$L$175,"Active")&gt;0,"EXCEPTION: SoD CONFLICT - ALSO HOLDS "&amp;R30,"OK - No Conflicting Role Held"))</f>
        <v>No Conflict Rule Applies to This Role</v>
      </c>
      <c r="T30" s="9" t="str">
        <f aca="false">IF(AND(H30="Admin",I30="Active"),IF(COUNTIFS(Recertifications!$B$2:$B$119,B30,Recertifications!$E$2:$E$119,F30,Recertifications!$K$2:$K$119,"&lt;&gt;")&gt;0,"OK - Recertified","EXCEPTION: PRIVILEGED ACCESS NEVER RECERTIFIED"),"N/A - Not Privileged")</f>
        <v>N/A - Not Privileged</v>
      </c>
      <c r="U30" s="9" t="str">
        <f aca="false">IF(OR(LEFT(M30,9)="EXCEPTION",LEFT(P30,9)="EXCEPTION",LEFT(S30,9)="EXCEPTION",LEFT(T30,9)="EXCEPTION"),"EXCEPTION","Clean")</f>
        <v>Clean</v>
      </c>
      <c r="V30" s="9" t="str">
        <f aca="false">IF(LEFT(M30,9)="EXCEPTION","Deprovisioning Control Gap",IF(LEFT(S30,9)="EXCEPTION","Segregation of Duties Conflict",IF(LEFT(P30,9)="EXCEPTION","Provisioning Approval Gap",IF(LEFT(T30,9)="EXCEPTION","Recertification Gap","N/A"))))</f>
        <v>N/A</v>
      </c>
    </row>
    <row r="31" customFormat="false" ht="15" hidden="false" customHeight="true" outlineLevel="0" collapsed="false">
      <c r="A31" s="9" t="str">
        <f aca="false">Access_Grants!A31</f>
        <v>AG-0030</v>
      </c>
      <c r="B31" s="9" t="str">
        <f aca="false">Access_Grants!B31</f>
        <v>E010</v>
      </c>
      <c r="C31" s="9" t="str">
        <f aca="false">Access_Grants!C31</f>
        <v>Ingrid Khan</v>
      </c>
      <c r="D31" s="9" t="str">
        <f aca="false">Access_Grants!D31</f>
        <v>Treasury</v>
      </c>
      <c r="E31" s="9" t="str">
        <f aca="false">Access_Grants!E31</f>
        <v>SYS-AD</v>
      </c>
      <c r="F31" s="9" t="str">
        <f aca="false">Access_Grants!F31</f>
        <v>R09</v>
      </c>
      <c r="G31" s="9" t="str">
        <f aca="false">Access_Grants!G31</f>
        <v>Standard Network User</v>
      </c>
      <c r="H31" s="9" t="str">
        <f aca="false">Access_Grants!H31</f>
        <v>Read</v>
      </c>
      <c r="I31" s="9" t="str">
        <f aca="false">Access_Grants!L31</f>
        <v>Active</v>
      </c>
      <c r="J31" s="10" t="n">
        <f aca="false">Access_Grants!I31</f>
        <v>45270</v>
      </c>
      <c r="K31" s="10" t="n">
        <f aca="false">IFERROR(INDEX(HR_Employees!$F$2:$F$51,MATCH(B31,HR_Employees!$A$2:$A$51,0)),"")</f>
        <v>0</v>
      </c>
      <c r="L31" s="10" t="str">
        <f aca="false">IF(Access_Grants!M31="","",Access_Grants!M31)</f>
        <v/>
      </c>
      <c r="M31" s="9" t="str">
        <f aca="false">IF(K31="","N/A - Active Employee",IF(OR(I31="Active",AND(L31&lt;&gt;"",L31&gt;K31+5)),"EXCEPTION: TERMINATED USER - ACCESS NOT REVOKED TIMELY","OK - Revoked Within SLA"))</f>
        <v>N/A - Active Employee</v>
      </c>
      <c r="N31" s="9" t="str">
        <f aca="false">Access_Grants!J31&amp;""</f>
        <v/>
      </c>
      <c r="O31" s="9" t="str">
        <f aca="false">Access_Grants!K31&amp;""</f>
        <v>CHG-80798</v>
      </c>
      <c r="P31" s="9" t="str">
        <f aca="false">IF(OR(TRIM(N31)="",TRIM(O31)=""),"EXCEPTION: NO DOCUMENTED APPROVAL","OK - Approved")</f>
        <v>EXCEPTION: NO DOCUMENTED APPROVAL</v>
      </c>
      <c r="Q31" s="9" t="str">
        <f aca="false">IFERROR(INDEX(SoD_Conflict_Matrix!$D$2:$D$7,MATCH(F31,SoD_Conflict_Matrix!$B$2:$B$7,0)),IFERROR(INDEX(SoD_Conflict_Matrix!$B$2:$B$7,MATCH(F31,SoD_Conflict_Matrix!$D$2:$D$7,0)),""))</f>
        <v/>
      </c>
      <c r="R31" s="9" t="str">
        <f aca="false">IFERROR(INDEX(SoD_Conflict_Matrix!$E$2:$E$7,MATCH(F31,SoD_Conflict_Matrix!$B$2:$B$7,0)),IFERROR(INDEX(SoD_Conflict_Matrix!$C$2:$C$7,MATCH(F31,SoD_Conflict_Matrix!$D$2:$D$7,0)),""))</f>
        <v/>
      </c>
      <c r="S31" s="9" t="str">
        <f aca="false">IF(Q31="","No Conflict Rule Applies to This Role",IF(COUNTIFS(Access_Grants!$B$2:$B$175,B31,Access_Grants!$F$2:$F$175,Q31,Access_Grants!$L$2:$L$175,"Active")&gt;0,"EXCEPTION: SoD CONFLICT - ALSO HOLDS "&amp;R31,"OK - No Conflicting Role Held"))</f>
        <v>No Conflict Rule Applies to This Role</v>
      </c>
      <c r="T31" s="9" t="str">
        <f aca="false">IF(AND(H31="Admin",I31="Active"),IF(COUNTIFS(Recertifications!$B$2:$B$119,B31,Recertifications!$E$2:$E$119,F31,Recertifications!$K$2:$K$119,"&lt;&gt;")&gt;0,"OK - Recertified","EXCEPTION: PRIVILEGED ACCESS NEVER RECERTIFIED"),"N/A - Not Privileged")</f>
        <v>N/A - Not Privileged</v>
      </c>
      <c r="U31" s="9" t="str">
        <f aca="false">IF(OR(LEFT(M31,9)="EXCEPTION",LEFT(P31,9)="EXCEPTION",LEFT(S31,9)="EXCEPTION",LEFT(T31,9)="EXCEPTION"),"EXCEPTION","Clean")</f>
        <v>EXCEPTION</v>
      </c>
      <c r="V31" s="9" t="str">
        <f aca="false">IF(LEFT(M31,9)="EXCEPTION","Deprovisioning Control Gap",IF(LEFT(S31,9)="EXCEPTION","Segregation of Duties Conflict",IF(LEFT(P31,9)="EXCEPTION","Provisioning Approval Gap",IF(LEFT(T31,9)="EXCEPTION","Recertification Gap","N/A"))))</f>
        <v>Provisioning Approval Gap</v>
      </c>
    </row>
    <row r="32" customFormat="false" ht="15" hidden="false" customHeight="true" outlineLevel="0" collapsed="false">
      <c r="A32" s="9" t="str">
        <f aca="false">Access_Grants!A32</f>
        <v>AG-0031</v>
      </c>
      <c r="B32" s="9" t="str">
        <f aca="false">Access_Grants!B32</f>
        <v>E010</v>
      </c>
      <c r="C32" s="9" t="str">
        <f aca="false">Access_Grants!C32</f>
        <v>Ingrid Khan</v>
      </c>
      <c r="D32" s="9" t="str">
        <f aca="false">Access_Grants!D32</f>
        <v>Treasury</v>
      </c>
      <c r="E32" s="9" t="str">
        <f aca="false">Access_Grants!E32</f>
        <v>SYS-BANK</v>
      </c>
      <c r="F32" s="9" t="str">
        <f aca="false">Access_Grants!F32</f>
        <v>R13</v>
      </c>
      <c r="G32" s="9" t="str">
        <f aca="false">Access_Grants!G32</f>
        <v>Wire Initiation</v>
      </c>
      <c r="H32" s="9" t="str">
        <f aca="false">Access_Grants!H32</f>
        <v>Write</v>
      </c>
      <c r="I32" s="9" t="str">
        <f aca="false">Access_Grants!L32</f>
        <v>Active</v>
      </c>
      <c r="J32" s="10" t="n">
        <f aca="false">Access_Grants!I32</f>
        <v>45083</v>
      </c>
      <c r="K32" s="10" t="n">
        <f aca="false">IFERROR(INDEX(HR_Employees!$F$2:$F$51,MATCH(B32,HR_Employees!$A$2:$A$51,0)),"")</f>
        <v>0</v>
      </c>
      <c r="L32" s="10" t="str">
        <f aca="false">IF(Access_Grants!M32="","",Access_Grants!M32)</f>
        <v/>
      </c>
      <c r="M32" s="9" t="str">
        <f aca="false">IF(K32="","N/A - Active Employee",IF(OR(I32="Active",AND(L32&lt;&gt;"",L32&gt;K32+5)),"EXCEPTION: TERMINATED USER - ACCESS NOT REVOKED TIMELY","OK - Revoked Within SLA"))</f>
        <v>N/A - Active Employee</v>
      </c>
      <c r="N32" s="9" t="str">
        <f aca="false">Access_Grants!J32&amp;""</f>
        <v>MGR-04</v>
      </c>
      <c r="O32" s="9" t="str">
        <f aca="false">Access_Grants!K32&amp;""</f>
        <v>CHG-18418</v>
      </c>
      <c r="P32" s="9" t="str">
        <f aca="false">IF(OR(TRIM(N32)="",TRIM(O32)=""),"EXCEPTION: NO DOCUMENTED APPROVAL","OK - Approved")</f>
        <v>OK - Approved</v>
      </c>
      <c r="Q32" s="9" t="str">
        <f aca="false">IFERROR(INDEX(SoD_Conflict_Matrix!$D$2:$D$7,MATCH(F32,SoD_Conflict_Matrix!$B$2:$B$7,0)),IFERROR(INDEX(SoD_Conflict_Matrix!$B$2:$B$7,MATCH(F32,SoD_Conflict_Matrix!$D$2:$D$7,0)),""))</f>
        <v>R14</v>
      </c>
      <c r="R32" s="9" t="str">
        <f aca="false">IFERROR(INDEX(SoD_Conflict_Matrix!$E$2:$E$7,MATCH(F32,SoD_Conflict_Matrix!$B$2:$B$7,0)),IFERROR(INDEX(SoD_Conflict_Matrix!$C$2:$C$7,MATCH(F32,SoD_Conflict_Matrix!$D$2:$D$7,0)),""))</f>
        <v>Wire Approval / Release</v>
      </c>
      <c r="S32" s="9" t="str">
        <f aca="false">IF(Q32="","No Conflict Rule Applies to This Role",IF(COUNTIFS(Access_Grants!$B$2:$B$175,B32,Access_Grants!$F$2:$F$175,Q32,Access_Grants!$L$2:$L$175,"Active")&gt;0,"EXCEPTION: SoD CONFLICT - ALSO HOLDS "&amp;R32,"OK - No Conflicting Role Held"))</f>
        <v>EXCEPTION: SoD CONFLICT - ALSO HOLDS Wire Approval / Release</v>
      </c>
      <c r="T32" s="9" t="str">
        <f aca="false">IF(AND(H32="Admin",I32="Active"),IF(COUNTIFS(Recertifications!$B$2:$B$119,B32,Recertifications!$E$2:$E$119,F32,Recertifications!$K$2:$K$119,"&lt;&gt;")&gt;0,"OK - Recertified","EXCEPTION: PRIVILEGED ACCESS NEVER RECERTIFIED"),"N/A - Not Privileged")</f>
        <v>N/A - Not Privileged</v>
      </c>
      <c r="U32" s="9" t="str">
        <f aca="false">IF(OR(LEFT(M32,9)="EXCEPTION",LEFT(P32,9)="EXCEPTION",LEFT(S32,9)="EXCEPTION",LEFT(T32,9)="EXCEPTION"),"EXCEPTION","Clean")</f>
        <v>EXCEPTION</v>
      </c>
      <c r="V32" s="9" t="str">
        <f aca="false">IF(LEFT(M32,9)="EXCEPTION","Deprovisioning Control Gap",IF(LEFT(S32,9)="EXCEPTION","Segregation of Duties Conflict",IF(LEFT(P32,9)="EXCEPTION","Provisioning Approval Gap",IF(LEFT(T32,9)="EXCEPTION","Recertification Gap","N/A"))))</f>
        <v>Segregation of Duties Conflict</v>
      </c>
    </row>
    <row r="33" customFormat="false" ht="15" hidden="false" customHeight="true" outlineLevel="0" collapsed="false">
      <c r="A33" s="9" t="str">
        <f aca="false">Access_Grants!A33</f>
        <v>AG-0032</v>
      </c>
      <c r="B33" s="9" t="str">
        <f aca="false">Access_Grants!B33</f>
        <v>E010</v>
      </c>
      <c r="C33" s="9" t="str">
        <f aca="false">Access_Grants!C33</f>
        <v>Ingrid Khan</v>
      </c>
      <c r="D33" s="9" t="str">
        <f aca="false">Access_Grants!D33</f>
        <v>Treasury</v>
      </c>
      <c r="E33" s="9" t="str">
        <f aca="false">Access_Grants!E33</f>
        <v>SYS-BANK</v>
      </c>
      <c r="F33" s="9" t="str">
        <f aca="false">Access_Grants!F33</f>
        <v>R14</v>
      </c>
      <c r="G33" s="9" t="str">
        <f aca="false">Access_Grants!G33</f>
        <v>Wire Approval / Release</v>
      </c>
      <c r="H33" s="9" t="str">
        <f aca="false">Access_Grants!H33</f>
        <v>Admin</v>
      </c>
      <c r="I33" s="9" t="str">
        <f aca="false">Access_Grants!L33</f>
        <v>Active</v>
      </c>
      <c r="J33" s="10" t="n">
        <f aca="false">Access_Grants!I33</f>
        <v>45404</v>
      </c>
      <c r="K33" s="10" t="n">
        <f aca="false">IFERROR(INDEX(HR_Employees!$F$2:$F$51,MATCH(B33,HR_Employees!$A$2:$A$51,0)),"")</f>
        <v>0</v>
      </c>
      <c r="L33" s="10" t="str">
        <f aca="false">IF(Access_Grants!M33="","",Access_Grants!M33)</f>
        <v/>
      </c>
      <c r="M33" s="9" t="str">
        <f aca="false">IF(K33="","N/A - Active Employee",IF(OR(I33="Active",AND(L33&lt;&gt;"",L33&gt;K33+5)),"EXCEPTION: TERMINATED USER - ACCESS NOT REVOKED TIMELY","OK - Revoked Within SLA"))</f>
        <v>N/A - Active Employee</v>
      </c>
      <c r="N33" s="9" t="str">
        <f aca="false">Access_Grants!J33&amp;""</f>
        <v>MGR-07</v>
      </c>
      <c r="O33" s="9" t="str">
        <f aca="false">Access_Grants!K33&amp;""</f>
        <v>CHG-18161</v>
      </c>
      <c r="P33" s="9" t="str">
        <f aca="false">IF(OR(TRIM(N33)="",TRIM(O33)=""),"EXCEPTION: NO DOCUMENTED APPROVAL","OK - Approved")</f>
        <v>OK - Approved</v>
      </c>
      <c r="Q33" s="9" t="str">
        <f aca="false">IFERROR(INDEX(SoD_Conflict_Matrix!$D$2:$D$7,MATCH(F33,SoD_Conflict_Matrix!$B$2:$B$7,0)),IFERROR(INDEX(SoD_Conflict_Matrix!$B$2:$B$7,MATCH(F33,SoD_Conflict_Matrix!$D$2:$D$7,0)),""))</f>
        <v>R13</v>
      </c>
      <c r="R33" s="9" t="str">
        <f aca="false">IFERROR(INDEX(SoD_Conflict_Matrix!$E$2:$E$7,MATCH(F33,SoD_Conflict_Matrix!$B$2:$B$7,0)),IFERROR(INDEX(SoD_Conflict_Matrix!$C$2:$C$7,MATCH(F33,SoD_Conflict_Matrix!$D$2:$D$7,0)),""))</f>
        <v>Wire Initiation</v>
      </c>
      <c r="S33" s="9" t="str">
        <f aca="false">IF(Q33="","No Conflict Rule Applies to This Role",IF(COUNTIFS(Access_Grants!$B$2:$B$175,B33,Access_Grants!$F$2:$F$175,Q33,Access_Grants!$L$2:$L$175,"Active")&gt;0,"EXCEPTION: SoD CONFLICT - ALSO HOLDS "&amp;R33,"OK - No Conflicting Role Held"))</f>
        <v>EXCEPTION: SoD CONFLICT - ALSO HOLDS Wire Initiation</v>
      </c>
      <c r="T33" s="9" t="str">
        <f aca="false">IF(AND(H33="Admin",I33="Active"),IF(COUNTIFS(Recertifications!$B$2:$B$119,B33,Recertifications!$E$2:$E$119,F33,Recertifications!$K$2:$K$119,"&lt;&gt;")&gt;0,"OK - Recertified","EXCEPTION: PRIVILEGED ACCESS NEVER RECERTIFIED"),"N/A - Not Privileged")</f>
        <v>OK - Recertified</v>
      </c>
      <c r="U33" s="9" t="str">
        <f aca="false">IF(OR(LEFT(M33,9)="EXCEPTION",LEFT(P33,9)="EXCEPTION",LEFT(S33,9)="EXCEPTION",LEFT(T33,9)="EXCEPTION"),"EXCEPTION","Clean")</f>
        <v>EXCEPTION</v>
      </c>
      <c r="V33" s="9" t="str">
        <f aca="false">IF(LEFT(M33,9)="EXCEPTION","Deprovisioning Control Gap",IF(LEFT(S33,9)="EXCEPTION","Segregation of Duties Conflict",IF(LEFT(P33,9)="EXCEPTION","Provisioning Approval Gap",IF(LEFT(T33,9)="EXCEPTION","Recertification Gap","N/A"))))</f>
        <v>Segregation of Duties Conflict</v>
      </c>
    </row>
    <row r="34" customFormat="false" ht="15" hidden="false" customHeight="true" outlineLevel="0" collapsed="false">
      <c r="A34" s="9" t="str">
        <f aca="false">Access_Grants!A34</f>
        <v>AG-0033</v>
      </c>
      <c r="B34" s="9" t="str">
        <f aca="false">Access_Grants!B34</f>
        <v>E011</v>
      </c>
      <c r="C34" s="9" t="str">
        <f aca="false">Access_Grants!C34</f>
        <v>Ingrid Reyes</v>
      </c>
      <c r="D34" s="9" t="str">
        <f aca="false">Access_Grants!D34</f>
        <v>Accounts Payable</v>
      </c>
      <c r="E34" s="9" t="str">
        <f aca="false">Access_Grants!E34</f>
        <v>SYS-ERP</v>
      </c>
      <c r="F34" s="9" t="str">
        <f aca="false">Access_Grants!F34</f>
        <v>R01</v>
      </c>
      <c r="G34" s="9" t="str">
        <f aca="false">Access_Grants!G34</f>
        <v>AP Invoice Entry</v>
      </c>
      <c r="H34" s="9" t="str">
        <f aca="false">Access_Grants!H34</f>
        <v>Write</v>
      </c>
      <c r="I34" s="9" t="str">
        <f aca="false">Access_Grants!L34</f>
        <v>Active</v>
      </c>
      <c r="J34" s="10" t="n">
        <f aca="false">Access_Grants!I34</f>
        <v>45232</v>
      </c>
      <c r="K34" s="10" t="n">
        <f aca="false">IFERROR(INDEX(HR_Employees!$F$2:$F$51,MATCH(B34,HR_Employees!$A$2:$A$51,0)),"")</f>
        <v>0</v>
      </c>
      <c r="L34" s="10" t="str">
        <f aca="false">IF(Access_Grants!M34="","",Access_Grants!M34)</f>
        <v/>
      </c>
      <c r="M34" s="9" t="str">
        <f aca="false">IF(K34="","N/A - Active Employee",IF(OR(I34="Active",AND(L34&lt;&gt;"",L34&gt;K34+5)),"EXCEPTION: TERMINATED USER - ACCESS NOT REVOKED TIMELY","OK - Revoked Within SLA"))</f>
        <v>N/A - Active Employee</v>
      </c>
      <c r="N34" s="9" t="str">
        <f aca="false">Access_Grants!J34&amp;""</f>
        <v>MGR-07</v>
      </c>
      <c r="O34" s="9" t="str">
        <f aca="false">Access_Grants!K34&amp;""</f>
        <v>CHG-64921</v>
      </c>
      <c r="P34" s="9" t="str">
        <f aca="false">IF(OR(TRIM(N34)="",TRIM(O34)=""),"EXCEPTION: NO DOCUMENTED APPROVAL","OK - Approved")</f>
        <v>OK - Approved</v>
      </c>
      <c r="Q34" s="9" t="str">
        <f aca="false">IFERROR(INDEX(SoD_Conflict_Matrix!$D$2:$D$7,MATCH(F34,SoD_Conflict_Matrix!$B$2:$B$7,0)),IFERROR(INDEX(SoD_Conflict_Matrix!$B$2:$B$7,MATCH(F34,SoD_Conflict_Matrix!$D$2:$D$7,0)),""))</f>
        <v>R02</v>
      </c>
      <c r="R34" s="9" t="str">
        <f aca="false">IFERROR(INDEX(SoD_Conflict_Matrix!$E$2:$E$7,MATCH(F34,SoD_Conflict_Matrix!$B$2:$B$7,0)),IFERROR(INDEX(SoD_Conflict_Matrix!$C$2:$C$7,MATCH(F34,SoD_Conflict_Matrix!$D$2:$D$7,0)),""))</f>
        <v>AP Payment Approval</v>
      </c>
      <c r="S34" s="9" t="str">
        <f aca="false">IF(Q34="","No Conflict Rule Applies to This Role",IF(COUNTIFS(Access_Grants!$B$2:$B$175,B34,Access_Grants!$F$2:$F$175,Q34,Access_Grants!$L$2:$L$175,"Active")&gt;0,"EXCEPTION: SoD CONFLICT - ALSO HOLDS "&amp;R34,"OK - No Conflicting Role Held"))</f>
        <v>EXCEPTION: SoD CONFLICT - ALSO HOLDS AP Payment Approval</v>
      </c>
      <c r="T34" s="9" t="str">
        <f aca="false">IF(AND(H34="Admin",I34="Active"),IF(COUNTIFS(Recertifications!$B$2:$B$119,B34,Recertifications!$E$2:$E$119,F34,Recertifications!$K$2:$K$119,"&lt;&gt;")&gt;0,"OK - Recertified","EXCEPTION: PRIVILEGED ACCESS NEVER RECERTIFIED"),"N/A - Not Privileged")</f>
        <v>N/A - Not Privileged</v>
      </c>
      <c r="U34" s="9" t="str">
        <f aca="false">IF(OR(LEFT(M34,9)="EXCEPTION",LEFT(P34,9)="EXCEPTION",LEFT(S34,9)="EXCEPTION",LEFT(T34,9)="EXCEPTION"),"EXCEPTION","Clean")</f>
        <v>EXCEPTION</v>
      </c>
      <c r="V34" s="9" t="str">
        <f aca="false">IF(LEFT(M34,9)="EXCEPTION","Deprovisioning Control Gap",IF(LEFT(S34,9)="EXCEPTION","Segregation of Duties Conflict",IF(LEFT(P34,9)="EXCEPTION","Provisioning Approval Gap",IF(LEFT(T34,9)="EXCEPTION","Recertification Gap","N/A"))))</f>
        <v>Segregation of Duties Conflict</v>
      </c>
    </row>
    <row r="35" customFormat="false" ht="15" hidden="false" customHeight="true" outlineLevel="0" collapsed="false">
      <c r="A35" s="9" t="str">
        <f aca="false">Access_Grants!A35</f>
        <v>AG-0034</v>
      </c>
      <c r="B35" s="9" t="str">
        <f aca="false">Access_Grants!B35</f>
        <v>E011</v>
      </c>
      <c r="C35" s="9" t="str">
        <f aca="false">Access_Grants!C35</f>
        <v>Ingrid Reyes</v>
      </c>
      <c r="D35" s="9" t="str">
        <f aca="false">Access_Grants!D35</f>
        <v>Accounts Payable</v>
      </c>
      <c r="E35" s="9" t="str">
        <f aca="false">Access_Grants!E35</f>
        <v>SYS-ERP</v>
      </c>
      <c r="F35" s="9" t="str">
        <f aca="false">Access_Grants!F35</f>
        <v>R03</v>
      </c>
      <c r="G35" s="9" t="str">
        <f aca="false">Access_Grants!G35</f>
        <v>Vendor Master Maintenance</v>
      </c>
      <c r="H35" s="9" t="str">
        <f aca="false">Access_Grants!H35</f>
        <v>Write</v>
      </c>
      <c r="I35" s="9" t="str">
        <f aca="false">Access_Grants!L35</f>
        <v>Active</v>
      </c>
      <c r="J35" s="10" t="n">
        <f aca="false">Access_Grants!I35</f>
        <v>45544</v>
      </c>
      <c r="K35" s="10" t="n">
        <f aca="false">IFERROR(INDEX(HR_Employees!$F$2:$F$51,MATCH(B35,HR_Employees!$A$2:$A$51,0)),"")</f>
        <v>0</v>
      </c>
      <c r="L35" s="10" t="str">
        <f aca="false">IF(Access_Grants!M35="","",Access_Grants!M35)</f>
        <v/>
      </c>
      <c r="M35" s="9" t="str">
        <f aca="false">IF(K35="","N/A - Active Employee",IF(OR(I35="Active",AND(L35&lt;&gt;"",L35&gt;K35+5)),"EXCEPTION: TERMINATED USER - ACCESS NOT REVOKED TIMELY","OK - Revoked Within SLA"))</f>
        <v>N/A - Active Employee</v>
      </c>
      <c r="N35" s="9" t="str">
        <f aca="false">Access_Grants!J35&amp;""</f>
        <v>MGR-04</v>
      </c>
      <c r="O35" s="9" t="str">
        <f aca="false">Access_Grants!K35&amp;""</f>
        <v>CHG-73993</v>
      </c>
      <c r="P35" s="9" t="str">
        <f aca="false">IF(OR(TRIM(N35)="",TRIM(O35)=""),"EXCEPTION: NO DOCUMENTED APPROVAL","OK - Approved")</f>
        <v>OK - Approved</v>
      </c>
      <c r="Q35" s="9" t="str">
        <f aca="false">IFERROR(INDEX(SoD_Conflict_Matrix!$D$2:$D$7,MATCH(F35,SoD_Conflict_Matrix!$B$2:$B$7,0)),IFERROR(INDEX(SoD_Conflict_Matrix!$B$2:$B$7,MATCH(F35,SoD_Conflict_Matrix!$D$2:$D$7,0)),""))</f>
        <v>R02</v>
      </c>
      <c r="R35" s="9" t="str">
        <f aca="false">IFERROR(INDEX(SoD_Conflict_Matrix!$E$2:$E$7,MATCH(F35,SoD_Conflict_Matrix!$B$2:$B$7,0)),IFERROR(INDEX(SoD_Conflict_Matrix!$C$2:$C$7,MATCH(F35,SoD_Conflict_Matrix!$D$2:$D$7,0)),""))</f>
        <v>AP Payment Approval</v>
      </c>
      <c r="S35" s="9" t="str">
        <f aca="false">IF(Q35="","No Conflict Rule Applies to This Role",IF(COUNTIFS(Access_Grants!$B$2:$B$175,B35,Access_Grants!$F$2:$F$175,Q35,Access_Grants!$L$2:$L$175,"Active")&gt;0,"EXCEPTION: SoD CONFLICT - ALSO HOLDS "&amp;R35,"OK - No Conflicting Role Held"))</f>
        <v>EXCEPTION: SoD CONFLICT - ALSO HOLDS AP Payment Approval</v>
      </c>
      <c r="T35" s="9" t="str">
        <f aca="false">IF(AND(H35="Admin",I35="Active"),IF(COUNTIFS(Recertifications!$B$2:$B$119,B35,Recertifications!$E$2:$E$119,F35,Recertifications!$K$2:$K$119,"&lt;&gt;")&gt;0,"OK - Recertified","EXCEPTION: PRIVILEGED ACCESS NEVER RECERTIFIED"),"N/A - Not Privileged")</f>
        <v>N/A - Not Privileged</v>
      </c>
      <c r="U35" s="9" t="str">
        <f aca="false">IF(OR(LEFT(M35,9)="EXCEPTION",LEFT(P35,9)="EXCEPTION",LEFT(S35,9)="EXCEPTION",LEFT(T35,9)="EXCEPTION"),"EXCEPTION","Clean")</f>
        <v>EXCEPTION</v>
      </c>
      <c r="V35" s="9" t="str">
        <f aca="false">IF(LEFT(M35,9)="EXCEPTION","Deprovisioning Control Gap",IF(LEFT(S35,9)="EXCEPTION","Segregation of Duties Conflict",IF(LEFT(P35,9)="EXCEPTION","Provisioning Approval Gap",IF(LEFT(T35,9)="EXCEPTION","Recertification Gap","N/A"))))</f>
        <v>Segregation of Duties Conflict</v>
      </c>
    </row>
    <row r="36" customFormat="false" ht="15" hidden="false" customHeight="true" outlineLevel="0" collapsed="false">
      <c r="A36" s="9" t="str">
        <f aca="false">Access_Grants!A36</f>
        <v>AG-0035</v>
      </c>
      <c r="B36" s="9" t="str">
        <f aca="false">Access_Grants!B36</f>
        <v>E011</v>
      </c>
      <c r="C36" s="9" t="str">
        <f aca="false">Access_Grants!C36</f>
        <v>Ingrid Reyes</v>
      </c>
      <c r="D36" s="9" t="str">
        <f aca="false">Access_Grants!D36</f>
        <v>Accounts Payable</v>
      </c>
      <c r="E36" s="9" t="str">
        <f aca="false">Access_Grants!E36</f>
        <v>SYS-AD</v>
      </c>
      <c r="F36" s="9" t="str">
        <f aca="false">Access_Grants!F36</f>
        <v>R09</v>
      </c>
      <c r="G36" s="9" t="str">
        <f aca="false">Access_Grants!G36</f>
        <v>Standard Network User</v>
      </c>
      <c r="H36" s="9" t="str">
        <f aca="false">Access_Grants!H36</f>
        <v>Read</v>
      </c>
      <c r="I36" s="9" t="str">
        <f aca="false">Access_Grants!L36</f>
        <v>Active</v>
      </c>
      <c r="J36" s="10" t="n">
        <f aca="false">Access_Grants!I36</f>
        <v>44956</v>
      </c>
      <c r="K36" s="10" t="n">
        <f aca="false">IFERROR(INDEX(HR_Employees!$F$2:$F$51,MATCH(B36,HR_Employees!$A$2:$A$51,0)),"")</f>
        <v>0</v>
      </c>
      <c r="L36" s="10" t="str">
        <f aca="false">IF(Access_Grants!M36="","",Access_Grants!M36)</f>
        <v/>
      </c>
      <c r="M36" s="9" t="str">
        <f aca="false">IF(K36="","N/A - Active Employee",IF(OR(I36="Active",AND(L36&lt;&gt;"",L36&gt;K36+5)),"EXCEPTION: TERMINATED USER - ACCESS NOT REVOKED TIMELY","OK - Revoked Within SLA"))</f>
        <v>N/A - Active Employee</v>
      </c>
      <c r="N36" s="9" t="str">
        <f aca="false">Access_Grants!J36&amp;""</f>
        <v>MGR-07</v>
      </c>
      <c r="O36" s="9" t="str">
        <f aca="false">Access_Grants!K36&amp;""</f>
        <v>CHG-54057</v>
      </c>
      <c r="P36" s="9" t="str">
        <f aca="false">IF(OR(TRIM(N36)="",TRIM(O36)=""),"EXCEPTION: NO DOCUMENTED APPROVAL","OK - Approved")</f>
        <v>OK - Approved</v>
      </c>
      <c r="Q36" s="9" t="str">
        <f aca="false">IFERROR(INDEX(SoD_Conflict_Matrix!$D$2:$D$7,MATCH(F36,SoD_Conflict_Matrix!$B$2:$B$7,0)),IFERROR(INDEX(SoD_Conflict_Matrix!$B$2:$B$7,MATCH(F36,SoD_Conflict_Matrix!$D$2:$D$7,0)),""))</f>
        <v/>
      </c>
      <c r="R36" s="9" t="str">
        <f aca="false">IFERROR(INDEX(SoD_Conflict_Matrix!$E$2:$E$7,MATCH(F36,SoD_Conflict_Matrix!$B$2:$B$7,0)),IFERROR(INDEX(SoD_Conflict_Matrix!$C$2:$C$7,MATCH(F36,SoD_Conflict_Matrix!$D$2:$D$7,0)),""))</f>
        <v/>
      </c>
      <c r="S36" s="9" t="str">
        <f aca="false">IF(Q36="","No Conflict Rule Applies to This Role",IF(COUNTIFS(Access_Grants!$B$2:$B$175,B36,Access_Grants!$F$2:$F$175,Q36,Access_Grants!$L$2:$L$175,"Active")&gt;0,"EXCEPTION: SoD CONFLICT - ALSO HOLDS "&amp;R36,"OK - No Conflicting Role Held"))</f>
        <v>No Conflict Rule Applies to This Role</v>
      </c>
      <c r="T36" s="9" t="str">
        <f aca="false">IF(AND(H36="Admin",I36="Active"),IF(COUNTIFS(Recertifications!$B$2:$B$119,B36,Recertifications!$E$2:$E$119,F36,Recertifications!$K$2:$K$119,"&lt;&gt;")&gt;0,"OK - Recertified","EXCEPTION: PRIVILEGED ACCESS NEVER RECERTIFIED"),"N/A - Not Privileged")</f>
        <v>N/A - Not Privileged</v>
      </c>
      <c r="U36" s="9" t="str">
        <f aca="false">IF(OR(LEFT(M36,9)="EXCEPTION",LEFT(P36,9)="EXCEPTION",LEFT(S36,9)="EXCEPTION",LEFT(T36,9)="EXCEPTION"),"EXCEPTION","Clean")</f>
        <v>Clean</v>
      </c>
      <c r="V36" s="9" t="str">
        <f aca="false">IF(LEFT(M36,9)="EXCEPTION","Deprovisioning Control Gap",IF(LEFT(S36,9)="EXCEPTION","Segregation of Duties Conflict",IF(LEFT(P36,9)="EXCEPTION","Provisioning Approval Gap",IF(LEFT(T36,9)="EXCEPTION","Recertification Gap","N/A"))))</f>
        <v>N/A</v>
      </c>
    </row>
    <row r="37" customFormat="false" ht="15" hidden="false" customHeight="true" outlineLevel="0" collapsed="false">
      <c r="A37" s="9" t="str">
        <f aca="false">Access_Grants!A37</f>
        <v>AG-0036</v>
      </c>
      <c r="B37" s="9" t="str">
        <f aca="false">Access_Grants!B37</f>
        <v>E011</v>
      </c>
      <c r="C37" s="9" t="str">
        <f aca="false">Access_Grants!C37</f>
        <v>Ingrid Reyes</v>
      </c>
      <c r="D37" s="9" t="str">
        <f aca="false">Access_Grants!D37</f>
        <v>Accounts Payable</v>
      </c>
      <c r="E37" s="9" t="str">
        <f aca="false">Access_Grants!E37</f>
        <v>SYS-ERP</v>
      </c>
      <c r="F37" s="9" t="str">
        <f aca="false">Access_Grants!F37</f>
        <v>R02</v>
      </c>
      <c r="G37" s="9" t="str">
        <f aca="false">Access_Grants!G37</f>
        <v>AP Payment Approval</v>
      </c>
      <c r="H37" s="9" t="str">
        <f aca="false">Access_Grants!H37</f>
        <v>Write</v>
      </c>
      <c r="I37" s="9" t="str">
        <f aca="false">Access_Grants!L37</f>
        <v>Active</v>
      </c>
      <c r="J37" s="10" t="n">
        <f aca="false">Access_Grants!I37</f>
        <v>45096</v>
      </c>
      <c r="K37" s="10" t="n">
        <f aca="false">IFERROR(INDEX(HR_Employees!$F$2:$F$51,MATCH(B37,HR_Employees!$A$2:$A$51,0)),"")</f>
        <v>0</v>
      </c>
      <c r="L37" s="10" t="str">
        <f aca="false">IF(Access_Grants!M37="","",Access_Grants!M37)</f>
        <v/>
      </c>
      <c r="M37" s="9" t="str">
        <f aca="false">IF(K37="","N/A - Active Employee",IF(OR(I37="Active",AND(L37&lt;&gt;"",L37&gt;K37+5)),"EXCEPTION: TERMINATED USER - ACCESS NOT REVOKED TIMELY","OK - Revoked Within SLA"))</f>
        <v>N/A - Active Employee</v>
      </c>
      <c r="N37" s="9" t="str">
        <f aca="false">Access_Grants!J37&amp;""</f>
        <v>MGR-08</v>
      </c>
      <c r="O37" s="9" t="str">
        <f aca="false">Access_Grants!K37&amp;""</f>
        <v>CHG-26728</v>
      </c>
      <c r="P37" s="9" t="str">
        <f aca="false">IF(OR(TRIM(N37)="",TRIM(O37)=""),"EXCEPTION: NO DOCUMENTED APPROVAL","OK - Approved")</f>
        <v>OK - Approved</v>
      </c>
      <c r="Q37" s="9" t="str">
        <f aca="false">IFERROR(INDEX(SoD_Conflict_Matrix!$D$2:$D$7,MATCH(F37,SoD_Conflict_Matrix!$B$2:$B$7,0)),IFERROR(INDEX(SoD_Conflict_Matrix!$B$2:$B$7,MATCH(F37,SoD_Conflict_Matrix!$D$2:$D$7,0)),""))</f>
        <v>R01</v>
      </c>
      <c r="R37" s="9" t="str">
        <f aca="false">IFERROR(INDEX(SoD_Conflict_Matrix!$E$2:$E$7,MATCH(F37,SoD_Conflict_Matrix!$B$2:$B$7,0)),IFERROR(INDEX(SoD_Conflict_Matrix!$C$2:$C$7,MATCH(F37,SoD_Conflict_Matrix!$D$2:$D$7,0)),""))</f>
        <v>AP Invoice Entry</v>
      </c>
      <c r="S37" s="9" t="str">
        <f aca="false">IF(Q37="","No Conflict Rule Applies to This Role",IF(COUNTIFS(Access_Grants!$B$2:$B$175,B37,Access_Grants!$F$2:$F$175,Q37,Access_Grants!$L$2:$L$175,"Active")&gt;0,"EXCEPTION: SoD CONFLICT - ALSO HOLDS "&amp;R37,"OK - No Conflicting Role Held"))</f>
        <v>EXCEPTION: SoD CONFLICT - ALSO HOLDS AP Invoice Entry</v>
      </c>
      <c r="T37" s="9" t="str">
        <f aca="false">IF(AND(H37="Admin",I37="Active"),IF(COUNTIFS(Recertifications!$B$2:$B$119,B37,Recertifications!$E$2:$E$119,F37,Recertifications!$K$2:$K$119,"&lt;&gt;")&gt;0,"OK - Recertified","EXCEPTION: PRIVILEGED ACCESS NEVER RECERTIFIED"),"N/A - Not Privileged")</f>
        <v>N/A - Not Privileged</v>
      </c>
      <c r="U37" s="9" t="str">
        <f aca="false">IF(OR(LEFT(M37,9)="EXCEPTION",LEFT(P37,9)="EXCEPTION",LEFT(S37,9)="EXCEPTION",LEFT(T37,9)="EXCEPTION"),"EXCEPTION","Clean")</f>
        <v>EXCEPTION</v>
      </c>
      <c r="V37" s="9" t="str">
        <f aca="false">IF(LEFT(M37,9)="EXCEPTION","Deprovisioning Control Gap",IF(LEFT(S37,9)="EXCEPTION","Segregation of Duties Conflict",IF(LEFT(P37,9)="EXCEPTION","Provisioning Approval Gap",IF(LEFT(T37,9)="EXCEPTION","Recertification Gap","N/A"))))</f>
        <v>Segregation of Duties Conflict</v>
      </c>
    </row>
    <row r="38" customFormat="false" ht="15" hidden="false" customHeight="true" outlineLevel="0" collapsed="false">
      <c r="A38" s="9" t="str">
        <f aca="false">Access_Grants!A38</f>
        <v>AG-0037</v>
      </c>
      <c r="B38" s="9" t="str">
        <f aca="false">Access_Grants!B38</f>
        <v>E012</v>
      </c>
      <c r="C38" s="9" t="str">
        <f aca="false">Access_Grants!C38</f>
        <v>Zara Santos</v>
      </c>
      <c r="D38" s="9" t="str">
        <f aca="false">Access_Grants!D38</f>
        <v>IT Operations</v>
      </c>
      <c r="E38" s="9" t="str">
        <f aca="false">Access_Grants!E38</f>
        <v>SYS-AD</v>
      </c>
      <c r="F38" s="9" t="str">
        <f aca="false">Access_Grants!F38</f>
        <v>R09</v>
      </c>
      <c r="G38" s="9" t="str">
        <f aca="false">Access_Grants!G38</f>
        <v>Standard Network User</v>
      </c>
      <c r="H38" s="9" t="str">
        <f aca="false">Access_Grants!H38</f>
        <v>Read</v>
      </c>
      <c r="I38" s="9" t="str">
        <f aca="false">Access_Grants!L38</f>
        <v>Active</v>
      </c>
      <c r="J38" s="10" t="n">
        <f aca="false">Access_Grants!I38</f>
        <v>45885</v>
      </c>
      <c r="K38" s="10" t="n">
        <f aca="false">IFERROR(INDEX(HR_Employees!$F$2:$F$51,MATCH(B38,HR_Employees!$A$2:$A$51,0)),"")</f>
        <v>0</v>
      </c>
      <c r="L38" s="10" t="str">
        <f aca="false">IF(Access_Grants!M38="","",Access_Grants!M38)</f>
        <v/>
      </c>
      <c r="M38" s="9" t="str">
        <f aca="false">IF(K38="","N/A - Active Employee",IF(OR(I38="Active",AND(L38&lt;&gt;"",L38&gt;K38+5)),"EXCEPTION: TERMINATED USER - ACCESS NOT REVOKED TIMELY","OK - Revoked Within SLA"))</f>
        <v>N/A - Active Employee</v>
      </c>
      <c r="N38" s="9" t="str">
        <f aca="false">Access_Grants!J38&amp;""</f>
        <v/>
      </c>
      <c r="O38" s="9" t="str">
        <f aca="false">Access_Grants!K38&amp;""</f>
        <v>CHG-33819</v>
      </c>
      <c r="P38" s="9" t="str">
        <f aca="false">IF(OR(TRIM(N38)="",TRIM(O38)=""),"EXCEPTION: NO DOCUMENTED APPROVAL","OK - Approved")</f>
        <v>EXCEPTION: NO DOCUMENTED APPROVAL</v>
      </c>
      <c r="Q38" s="9" t="str">
        <f aca="false">IFERROR(INDEX(SoD_Conflict_Matrix!$D$2:$D$7,MATCH(F38,SoD_Conflict_Matrix!$B$2:$B$7,0)),IFERROR(INDEX(SoD_Conflict_Matrix!$B$2:$B$7,MATCH(F38,SoD_Conflict_Matrix!$D$2:$D$7,0)),""))</f>
        <v/>
      </c>
      <c r="R38" s="9" t="str">
        <f aca="false">IFERROR(INDEX(SoD_Conflict_Matrix!$E$2:$E$7,MATCH(F38,SoD_Conflict_Matrix!$B$2:$B$7,0)),IFERROR(INDEX(SoD_Conflict_Matrix!$C$2:$C$7,MATCH(F38,SoD_Conflict_Matrix!$D$2:$D$7,0)),""))</f>
        <v/>
      </c>
      <c r="S38" s="9" t="str">
        <f aca="false">IF(Q38="","No Conflict Rule Applies to This Role",IF(COUNTIFS(Access_Grants!$B$2:$B$175,B38,Access_Grants!$F$2:$F$175,Q38,Access_Grants!$L$2:$L$175,"Active")&gt;0,"EXCEPTION: SoD CONFLICT - ALSO HOLDS "&amp;R38,"OK - No Conflicting Role Held"))</f>
        <v>No Conflict Rule Applies to This Role</v>
      </c>
      <c r="T38" s="9" t="str">
        <f aca="false">IF(AND(H38="Admin",I38="Active"),IF(COUNTIFS(Recertifications!$B$2:$B$119,B38,Recertifications!$E$2:$E$119,F38,Recertifications!$K$2:$K$119,"&lt;&gt;")&gt;0,"OK - Recertified","EXCEPTION: PRIVILEGED ACCESS NEVER RECERTIFIED"),"N/A - Not Privileged")</f>
        <v>N/A - Not Privileged</v>
      </c>
      <c r="U38" s="9" t="str">
        <f aca="false">IF(OR(LEFT(M38,9)="EXCEPTION",LEFT(P38,9)="EXCEPTION",LEFT(S38,9)="EXCEPTION",LEFT(T38,9)="EXCEPTION"),"EXCEPTION","Clean")</f>
        <v>EXCEPTION</v>
      </c>
      <c r="V38" s="9" t="str">
        <f aca="false">IF(LEFT(M38,9)="EXCEPTION","Deprovisioning Control Gap",IF(LEFT(S38,9)="EXCEPTION","Segregation of Duties Conflict",IF(LEFT(P38,9)="EXCEPTION","Provisioning Approval Gap",IF(LEFT(T38,9)="EXCEPTION","Recertification Gap","N/A"))))</f>
        <v>Provisioning Approval Gap</v>
      </c>
    </row>
    <row r="39" customFormat="false" ht="15" hidden="false" customHeight="true" outlineLevel="0" collapsed="false">
      <c r="A39" s="9" t="str">
        <f aca="false">Access_Grants!A39</f>
        <v>AG-0038</v>
      </c>
      <c r="B39" s="9" t="str">
        <f aca="false">Access_Grants!B39</f>
        <v>E012</v>
      </c>
      <c r="C39" s="9" t="str">
        <f aca="false">Access_Grants!C39</f>
        <v>Zara Santos</v>
      </c>
      <c r="D39" s="9" t="str">
        <f aca="false">Access_Grants!D39</f>
        <v>IT Operations</v>
      </c>
      <c r="E39" s="9" t="str">
        <f aca="false">Access_Grants!E39</f>
        <v>SYS-AD</v>
      </c>
      <c r="F39" s="9" t="str">
        <f aca="false">Access_Grants!F39</f>
        <v>R10</v>
      </c>
      <c r="G39" s="9" t="str">
        <f aca="false">Access_Grants!G39</f>
        <v>Domain Administrator</v>
      </c>
      <c r="H39" s="9" t="str">
        <f aca="false">Access_Grants!H39</f>
        <v>Admin</v>
      </c>
      <c r="I39" s="9" t="str">
        <f aca="false">Access_Grants!L39</f>
        <v>Active</v>
      </c>
      <c r="J39" s="10" t="n">
        <f aca="false">Access_Grants!I39</f>
        <v>46081</v>
      </c>
      <c r="K39" s="10" t="n">
        <f aca="false">IFERROR(INDEX(HR_Employees!$F$2:$F$51,MATCH(B39,HR_Employees!$A$2:$A$51,0)),"")</f>
        <v>0</v>
      </c>
      <c r="L39" s="10" t="str">
        <f aca="false">IF(Access_Grants!M39="","",Access_Grants!M39)</f>
        <v/>
      </c>
      <c r="M39" s="9" t="str">
        <f aca="false">IF(K39="","N/A - Active Employee",IF(OR(I39="Active",AND(L39&lt;&gt;"",L39&gt;K39+5)),"EXCEPTION: TERMINATED USER - ACCESS NOT REVOKED TIMELY","OK - Revoked Within SLA"))</f>
        <v>N/A - Active Employee</v>
      </c>
      <c r="N39" s="9" t="str">
        <f aca="false">Access_Grants!J39&amp;""</f>
        <v>MGR-06</v>
      </c>
      <c r="O39" s="9" t="str">
        <f aca="false">Access_Grants!K39&amp;""</f>
        <v>CHG-59692</v>
      </c>
      <c r="P39" s="9" t="str">
        <f aca="false">IF(OR(TRIM(N39)="",TRIM(O39)=""),"EXCEPTION: NO DOCUMENTED APPROVAL","OK - Approved")</f>
        <v>OK - Approved</v>
      </c>
      <c r="Q39" s="9" t="str">
        <f aca="false">IFERROR(INDEX(SoD_Conflict_Matrix!$D$2:$D$7,MATCH(F39,SoD_Conflict_Matrix!$B$2:$B$7,0)),IFERROR(INDEX(SoD_Conflict_Matrix!$B$2:$B$7,MATCH(F39,SoD_Conflict_Matrix!$D$2:$D$7,0)),""))</f>
        <v/>
      </c>
      <c r="R39" s="9" t="str">
        <f aca="false">IFERROR(INDEX(SoD_Conflict_Matrix!$E$2:$E$7,MATCH(F39,SoD_Conflict_Matrix!$B$2:$B$7,0)),IFERROR(INDEX(SoD_Conflict_Matrix!$C$2:$C$7,MATCH(F39,SoD_Conflict_Matrix!$D$2:$D$7,0)),""))</f>
        <v/>
      </c>
      <c r="S39" s="9" t="str">
        <f aca="false">IF(Q39="","No Conflict Rule Applies to This Role",IF(COUNTIFS(Access_Grants!$B$2:$B$175,B39,Access_Grants!$F$2:$F$175,Q39,Access_Grants!$L$2:$L$175,"Active")&gt;0,"EXCEPTION: SoD CONFLICT - ALSO HOLDS "&amp;R39,"OK - No Conflicting Role Held"))</f>
        <v>No Conflict Rule Applies to This Role</v>
      </c>
      <c r="T39" s="9" t="str">
        <f aca="false">IF(AND(H39="Admin",I39="Active"),IF(COUNTIFS(Recertifications!$B$2:$B$119,B39,Recertifications!$E$2:$E$119,F39,Recertifications!$K$2:$K$119,"&lt;&gt;")&gt;0,"OK - Recertified","EXCEPTION: PRIVILEGED ACCESS NEVER RECERTIFIED"),"N/A - Not Privileged")</f>
        <v>OK - Recertified</v>
      </c>
      <c r="U39" s="9" t="str">
        <f aca="false">IF(OR(LEFT(M39,9)="EXCEPTION",LEFT(P39,9)="EXCEPTION",LEFT(S39,9)="EXCEPTION",LEFT(T39,9)="EXCEPTION"),"EXCEPTION","Clean")</f>
        <v>Clean</v>
      </c>
      <c r="V39" s="9" t="str">
        <f aca="false">IF(LEFT(M39,9)="EXCEPTION","Deprovisioning Control Gap",IF(LEFT(S39,9)="EXCEPTION","Segregation of Duties Conflict",IF(LEFT(P39,9)="EXCEPTION","Provisioning Approval Gap",IF(LEFT(T39,9)="EXCEPTION","Recertification Gap","N/A"))))</f>
        <v>N/A</v>
      </c>
    </row>
    <row r="40" customFormat="false" ht="15" hidden="false" customHeight="true" outlineLevel="0" collapsed="false">
      <c r="A40" s="9" t="str">
        <f aca="false">Access_Grants!A40</f>
        <v>AG-0039</v>
      </c>
      <c r="B40" s="9" t="str">
        <f aca="false">Access_Grants!B40</f>
        <v>E012</v>
      </c>
      <c r="C40" s="9" t="str">
        <f aca="false">Access_Grants!C40</f>
        <v>Zara Santos</v>
      </c>
      <c r="D40" s="9" t="str">
        <f aca="false">Access_Grants!D40</f>
        <v>IT Operations</v>
      </c>
      <c r="E40" s="9" t="str">
        <f aca="false">Access_Grants!E40</f>
        <v>SYS-HRIS</v>
      </c>
      <c r="F40" s="9" t="str">
        <f aca="false">Access_Grants!F40</f>
        <v>R08</v>
      </c>
      <c r="G40" s="9" t="str">
        <f aca="false">Access_Grants!G40</f>
        <v>Employee Master Read-Only</v>
      </c>
      <c r="H40" s="9" t="str">
        <f aca="false">Access_Grants!H40</f>
        <v>Read</v>
      </c>
      <c r="I40" s="9" t="str">
        <f aca="false">Access_Grants!L40</f>
        <v>Active</v>
      </c>
      <c r="J40" s="10" t="n">
        <f aca="false">Access_Grants!I40</f>
        <v>46178</v>
      </c>
      <c r="K40" s="10" t="n">
        <f aca="false">IFERROR(INDEX(HR_Employees!$F$2:$F$51,MATCH(B40,HR_Employees!$A$2:$A$51,0)),"")</f>
        <v>0</v>
      </c>
      <c r="L40" s="10" t="str">
        <f aca="false">IF(Access_Grants!M40="","",Access_Grants!M40)</f>
        <v/>
      </c>
      <c r="M40" s="9" t="str">
        <f aca="false">IF(K40="","N/A - Active Employee",IF(OR(I40="Active",AND(L40&lt;&gt;"",L40&gt;K40+5)),"EXCEPTION: TERMINATED USER - ACCESS NOT REVOKED TIMELY","OK - Revoked Within SLA"))</f>
        <v>N/A - Active Employee</v>
      </c>
      <c r="N40" s="9" t="str">
        <f aca="false">Access_Grants!J40&amp;""</f>
        <v>MGR-05</v>
      </c>
      <c r="O40" s="9" t="str">
        <f aca="false">Access_Grants!K40&amp;""</f>
        <v>CHG-20735</v>
      </c>
      <c r="P40" s="9" t="str">
        <f aca="false">IF(OR(TRIM(N40)="",TRIM(O40)=""),"EXCEPTION: NO DOCUMENTED APPROVAL","OK - Approved")</f>
        <v>OK - Approved</v>
      </c>
      <c r="Q40" s="9" t="str">
        <f aca="false">IFERROR(INDEX(SoD_Conflict_Matrix!$D$2:$D$7,MATCH(F40,SoD_Conflict_Matrix!$B$2:$B$7,0)),IFERROR(INDEX(SoD_Conflict_Matrix!$B$2:$B$7,MATCH(F40,SoD_Conflict_Matrix!$D$2:$D$7,0)),""))</f>
        <v/>
      </c>
      <c r="R40" s="9" t="str">
        <f aca="false">IFERROR(INDEX(SoD_Conflict_Matrix!$E$2:$E$7,MATCH(F40,SoD_Conflict_Matrix!$B$2:$B$7,0)),IFERROR(INDEX(SoD_Conflict_Matrix!$C$2:$C$7,MATCH(F40,SoD_Conflict_Matrix!$D$2:$D$7,0)),""))</f>
        <v/>
      </c>
      <c r="S40" s="9" t="str">
        <f aca="false">IF(Q40="","No Conflict Rule Applies to This Role",IF(COUNTIFS(Access_Grants!$B$2:$B$175,B40,Access_Grants!$F$2:$F$175,Q40,Access_Grants!$L$2:$L$175,"Active")&gt;0,"EXCEPTION: SoD CONFLICT - ALSO HOLDS "&amp;R40,"OK - No Conflicting Role Held"))</f>
        <v>No Conflict Rule Applies to This Role</v>
      </c>
      <c r="T40" s="9" t="str">
        <f aca="false">IF(AND(H40="Admin",I40="Active"),IF(COUNTIFS(Recertifications!$B$2:$B$119,B40,Recertifications!$E$2:$E$119,F40,Recertifications!$K$2:$K$119,"&lt;&gt;")&gt;0,"OK - Recertified","EXCEPTION: PRIVILEGED ACCESS NEVER RECERTIFIED"),"N/A - Not Privileged")</f>
        <v>N/A - Not Privileged</v>
      </c>
      <c r="U40" s="9" t="str">
        <f aca="false">IF(OR(LEFT(M40,9)="EXCEPTION",LEFT(P40,9)="EXCEPTION",LEFT(S40,9)="EXCEPTION",LEFT(T40,9)="EXCEPTION"),"EXCEPTION","Clean")</f>
        <v>Clean</v>
      </c>
      <c r="V40" s="9" t="str">
        <f aca="false">IF(LEFT(M40,9)="EXCEPTION","Deprovisioning Control Gap",IF(LEFT(S40,9)="EXCEPTION","Segregation of Duties Conflict",IF(LEFT(P40,9)="EXCEPTION","Provisioning Approval Gap",IF(LEFT(T40,9)="EXCEPTION","Recertification Gap","N/A"))))</f>
        <v>N/A</v>
      </c>
    </row>
    <row r="41" customFormat="false" ht="15" hidden="false" customHeight="true" outlineLevel="0" collapsed="false">
      <c r="A41" s="9" t="str">
        <f aca="false">Access_Grants!A41</f>
        <v>AG-0040</v>
      </c>
      <c r="B41" s="9" t="str">
        <f aca="false">Access_Grants!B41</f>
        <v>E013</v>
      </c>
      <c r="C41" s="9" t="str">
        <f aca="false">Access_Grants!C41</f>
        <v>Omar Ferreira</v>
      </c>
      <c r="D41" s="9" t="str">
        <f aca="false">Access_Grants!D41</f>
        <v>Finance</v>
      </c>
      <c r="E41" s="9" t="str">
        <f aca="false">Access_Grants!E41</f>
        <v>SYS-HRIS</v>
      </c>
      <c r="F41" s="9" t="str">
        <f aca="false">Access_Grants!F41</f>
        <v>R08</v>
      </c>
      <c r="G41" s="9" t="str">
        <f aca="false">Access_Grants!G41</f>
        <v>Employee Master Read-Only</v>
      </c>
      <c r="H41" s="9" t="str">
        <f aca="false">Access_Grants!H41</f>
        <v>Read</v>
      </c>
      <c r="I41" s="9" t="str">
        <f aca="false">Access_Grants!L41</f>
        <v>Revoked</v>
      </c>
      <c r="J41" s="10" t="n">
        <f aca="false">Access_Grants!I41</f>
        <v>45009</v>
      </c>
      <c r="K41" s="10" t="n">
        <f aca="false">IFERROR(INDEX(HR_Employees!$F$2:$F$51,MATCH(B41,HR_Employees!$A$2:$A$51,0)),"")</f>
        <v>0</v>
      </c>
      <c r="L41" s="10" t="n">
        <f aca="false">IF(Access_Grants!M41="","",Access_Grants!M41)</f>
        <v>45321</v>
      </c>
      <c r="M41" s="9" t="str">
        <f aca="false">IF(K41="","N/A - Active Employee",IF(OR(I41="Active",AND(L41&lt;&gt;"",L41&gt;K41+5)),"EXCEPTION: TERMINATED USER - ACCESS NOT REVOKED TIMELY","OK - Revoked Within SLA"))</f>
        <v>N/A - Active Employee</v>
      </c>
      <c r="N41" s="9" t="str">
        <f aca="false">Access_Grants!J41&amp;""</f>
        <v>MGR-01</v>
      </c>
      <c r="O41" s="9" t="str">
        <f aca="false">Access_Grants!K41&amp;""</f>
        <v>CHG-42411</v>
      </c>
      <c r="P41" s="9" t="str">
        <f aca="false">IF(OR(TRIM(N41)="",TRIM(O41)=""),"EXCEPTION: NO DOCUMENTED APPROVAL","OK - Approved")</f>
        <v>OK - Approved</v>
      </c>
      <c r="Q41" s="9" t="str">
        <f aca="false">IFERROR(INDEX(SoD_Conflict_Matrix!$D$2:$D$7,MATCH(F41,SoD_Conflict_Matrix!$B$2:$B$7,0)),IFERROR(INDEX(SoD_Conflict_Matrix!$B$2:$B$7,MATCH(F41,SoD_Conflict_Matrix!$D$2:$D$7,0)),""))</f>
        <v/>
      </c>
      <c r="R41" s="9" t="str">
        <f aca="false">IFERROR(INDEX(SoD_Conflict_Matrix!$E$2:$E$7,MATCH(F41,SoD_Conflict_Matrix!$B$2:$B$7,0)),IFERROR(INDEX(SoD_Conflict_Matrix!$C$2:$C$7,MATCH(F41,SoD_Conflict_Matrix!$D$2:$D$7,0)),""))</f>
        <v/>
      </c>
      <c r="S41" s="9" t="str">
        <f aca="false">IF(Q41="","No Conflict Rule Applies to This Role",IF(COUNTIFS(Access_Grants!$B$2:$B$175,B41,Access_Grants!$F$2:$F$175,Q41,Access_Grants!$L$2:$L$175,"Active")&gt;0,"EXCEPTION: SoD CONFLICT - ALSO HOLDS "&amp;R41,"OK - No Conflicting Role Held"))</f>
        <v>No Conflict Rule Applies to This Role</v>
      </c>
      <c r="T41" s="9" t="str">
        <f aca="false">IF(AND(H41="Admin",I41="Active"),IF(COUNTIFS(Recertifications!$B$2:$B$119,B41,Recertifications!$E$2:$E$119,F41,Recertifications!$K$2:$K$119,"&lt;&gt;")&gt;0,"OK - Recertified","EXCEPTION: PRIVILEGED ACCESS NEVER RECERTIFIED"),"N/A - Not Privileged")</f>
        <v>N/A - Not Privileged</v>
      </c>
      <c r="U41" s="9" t="str">
        <f aca="false">IF(OR(LEFT(M41,9)="EXCEPTION",LEFT(P41,9)="EXCEPTION",LEFT(S41,9)="EXCEPTION",LEFT(T41,9)="EXCEPTION"),"EXCEPTION","Clean")</f>
        <v>Clean</v>
      </c>
      <c r="V41" s="9" t="str">
        <f aca="false">IF(LEFT(M41,9)="EXCEPTION","Deprovisioning Control Gap",IF(LEFT(S41,9)="EXCEPTION","Segregation of Duties Conflict",IF(LEFT(P41,9)="EXCEPTION","Provisioning Approval Gap",IF(LEFT(T41,9)="EXCEPTION","Recertification Gap","N/A"))))</f>
        <v>N/A</v>
      </c>
    </row>
    <row r="42" customFormat="false" ht="15" hidden="false" customHeight="true" outlineLevel="0" collapsed="false">
      <c r="A42" s="9" t="str">
        <f aca="false">Access_Grants!A42</f>
        <v>AG-0041</v>
      </c>
      <c r="B42" s="9" t="str">
        <f aca="false">Access_Grants!B42</f>
        <v>E013</v>
      </c>
      <c r="C42" s="9" t="str">
        <f aca="false">Access_Grants!C42</f>
        <v>Omar Ferreira</v>
      </c>
      <c r="D42" s="9" t="str">
        <f aca="false">Access_Grants!D42</f>
        <v>Finance</v>
      </c>
      <c r="E42" s="9" t="str">
        <f aca="false">Access_Grants!E42</f>
        <v>SYS-ERP</v>
      </c>
      <c r="F42" s="9" t="str">
        <f aca="false">Access_Grants!F42</f>
        <v>R05</v>
      </c>
      <c r="G42" s="9" t="str">
        <f aca="false">Access_Grants!G42</f>
        <v>GL Journal Approval</v>
      </c>
      <c r="H42" s="9" t="str">
        <f aca="false">Access_Grants!H42</f>
        <v>Admin</v>
      </c>
      <c r="I42" s="9" t="str">
        <f aca="false">Access_Grants!L42</f>
        <v>Active</v>
      </c>
      <c r="J42" s="10" t="n">
        <f aca="false">Access_Grants!I42</f>
        <v>45415</v>
      </c>
      <c r="K42" s="10" t="n">
        <f aca="false">IFERROR(INDEX(HR_Employees!$F$2:$F$51,MATCH(B42,HR_Employees!$A$2:$A$51,0)),"")</f>
        <v>0</v>
      </c>
      <c r="L42" s="10" t="str">
        <f aca="false">IF(Access_Grants!M42="","",Access_Grants!M42)</f>
        <v/>
      </c>
      <c r="M42" s="9" t="str">
        <f aca="false">IF(K42="","N/A - Active Employee",IF(OR(I42="Active",AND(L42&lt;&gt;"",L42&gt;K42+5)),"EXCEPTION: TERMINATED USER - ACCESS NOT REVOKED TIMELY","OK - Revoked Within SLA"))</f>
        <v>N/A - Active Employee</v>
      </c>
      <c r="N42" s="9" t="str">
        <f aca="false">Access_Grants!J42&amp;""</f>
        <v>MGR-03</v>
      </c>
      <c r="O42" s="9" t="str">
        <f aca="false">Access_Grants!K42&amp;""</f>
        <v>CHG-72070</v>
      </c>
      <c r="P42" s="9" t="str">
        <f aca="false">IF(OR(TRIM(N42)="",TRIM(O42)=""),"EXCEPTION: NO DOCUMENTED APPROVAL","OK - Approved")</f>
        <v>OK - Approved</v>
      </c>
      <c r="Q42" s="9" t="str">
        <f aca="false">IFERROR(INDEX(SoD_Conflict_Matrix!$D$2:$D$7,MATCH(F42,SoD_Conflict_Matrix!$B$2:$B$7,0)),IFERROR(INDEX(SoD_Conflict_Matrix!$B$2:$B$7,MATCH(F42,SoD_Conflict_Matrix!$D$2:$D$7,0)),""))</f>
        <v>R04</v>
      </c>
      <c r="R42" s="9" t="str">
        <f aca="false">IFERROR(INDEX(SoD_Conflict_Matrix!$E$2:$E$7,MATCH(F42,SoD_Conflict_Matrix!$B$2:$B$7,0)),IFERROR(INDEX(SoD_Conflict_Matrix!$C$2:$C$7,MATCH(F42,SoD_Conflict_Matrix!$D$2:$D$7,0)),""))</f>
        <v>GL Journal Posting</v>
      </c>
      <c r="S42" s="9" t="str">
        <f aca="false">IF(Q42="","No Conflict Rule Applies to This Role",IF(COUNTIFS(Access_Grants!$B$2:$B$175,B42,Access_Grants!$F$2:$F$175,Q42,Access_Grants!$L$2:$L$175,"Active")&gt;0,"EXCEPTION: SoD CONFLICT - ALSO HOLDS "&amp;R42,"OK - No Conflicting Role Held"))</f>
        <v>OK - No Conflicting Role Held</v>
      </c>
      <c r="T42" s="9" t="str">
        <f aca="false">IF(AND(H42="Admin",I42="Active"),IF(COUNTIFS(Recertifications!$B$2:$B$119,B42,Recertifications!$E$2:$E$119,F42,Recertifications!$K$2:$K$119,"&lt;&gt;")&gt;0,"OK - Recertified","EXCEPTION: PRIVILEGED ACCESS NEVER RECERTIFIED"),"N/A - Not Privileged")</f>
        <v>OK - Recertified</v>
      </c>
      <c r="U42" s="9" t="str">
        <f aca="false">IF(OR(LEFT(M42,9)="EXCEPTION",LEFT(P42,9)="EXCEPTION",LEFT(S42,9)="EXCEPTION",LEFT(T42,9)="EXCEPTION"),"EXCEPTION","Clean")</f>
        <v>Clean</v>
      </c>
      <c r="V42" s="9" t="str">
        <f aca="false">IF(LEFT(M42,9)="EXCEPTION","Deprovisioning Control Gap",IF(LEFT(S42,9)="EXCEPTION","Segregation of Duties Conflict",IF(LEFT(P42,9)="EXCEPTION","Provisioning Approval Gap",IF(LEFT(T42,9)="EXCEPTION","Recertification Gap","N/A"))))</f>
        <v>N/A</v>
      </c>
    </row>
    <row r="43" customFormat="false" ht="15" hidden="false" customHeight="true" outlineLevel="0" collapsed="false">
      <c r="A43" s="9" t="str">
        <f aca="false">Access_Grants!A43</f>
        <v>AG-0042</v>
      </c>
      <c r="B43" s="9" t="str">
        <f aca="false">Access_Grants!B43</f>
        <v>E014</v>
      </c>
      <c r="C43" s="9" t="str">
        <f aca="false">Access_Grants!C43</f>
        <v>Raj Osei</v>
      </c>
      <c r="D43" s="9" t="str">
        <f aca="false">Access_Grants!D43</f>
        <v>Treasury</v>
      </c>
      <c r="E43" s="9" t="str">
        <f aca="false">Access_Grants!E43</f>
        <v>SYS-HRIS</v>
      </c>
      <c r="F43" s="9" t="str">
        <f aca="false">Access_Grants!F43</f>
        <v>R08</v>
      </c>
      <c r="G43" s="9" t="str">
        <f aca="false">Access_Grants!G43</f>
        <v>Employee Master Read-Only</v>
      </c>
      <c r="H43" s="9" t="str">
        <f aca="false">Access_Grants!H43</f>
        <v>Read</v>
      </c>
      <c r="I43" s="9" t="str">
        <f aca="false">Access_Grants!L43</f>
        <v>Active</v>
      </c>
      <c r="J43" s="10" t="n">
        <f aca="false">Access_Grants!I43</f>
        <v>45304</v>
      </c>
      <c r="K43" s="10" t="n">
        <f aca="false">IFERROR(INDEX(HR_Employees!$F$2:$F$51,MATCH(B43,HR_Employees!$A$2:$A$51,0)),"")</f>
        <v>0</v>
      </c>
      <c r="L43" s="10" t="str">
        <f aca="false">IF(Access_Grants!M43="","",Access_Grants!M43)</f>
        <v/>
      </c>
      <c r="M43" s="9" t="str">
        <f aca="false">IF(K43="","N/A - Active Employee",IF(OR(I43="Active",AND(L43&lt;&gt;"",L43&gt;K43+5)),"EXCEPTION: TERMINATED USER - ACCESS NOT REVOKED TIMELY","OK - Revoked Within SLA"))</f>
        <v>N/A - Active Employee</v>
      </c>
      <c r="N43" s="9" t="str">
        <f aca="false">Access_Grants!J43&amp;""</f>
        <v>MGR-03</v>
      </c>
      <c r="O43" s="9" t="str">
        <f aca="false">Access_Grants!K43&amp;""</f>
        <v>CHG-89415</v>
      </c>
      <c r="P43" s="9" t="str">
        <f aca="false">IF(OR(TRIM(N43)="",TRIM(O43)=""),"EXCEPTION: NO DOCUMENTED APPROVAL","OK - Approved")</f>
        <v>OK - Approved</v>
      </c>
      <c r="Q43" s="9" t="str">
        <f aca="false">IFERROR(INDEX(SoD_Conflict_Matrix!$D$2:$D$7,MATCH(F43,SoD_Conflict_Matrix!$B$2:$B$7,0)),IFERROR(INDEX(SoD_Conflict_Matrix!$B$2:$B$7,MATCH(F43,SoD_Conflict_Matrix!$D$2:$D$7,0)),""))</f>
        <v/>
      </c>
      <c r="R43" s="9" t="str">
        <f aca="false">IFERROR(INDEX(SoD_Conflict_Matrix!$E$2:$E$7,MATCH(F43,SoD_Conflict_Matrix!$B$2:$B$7,0)),IFERROR(INDEX(SoD_Conflict_Matrix!$C$2:$C$7,MATCH(F43,SoD_Conflict_Matrix!$D$2:$D$7,0)),""))</f>
        <v/>
      </c>
      <c r="S43" s="9" t="str">
        <f aca="false">IF(Q43="","No Conflict Rule Applies to This Role",IF(COUNTIFS(Access_Grants!$B$2:$B$175,B43,Access_Grants!$F$2:$F$175,Q43,Access_Grants!$L$2:$L$175,"Active")&gt;0,"EXCEPTION: SoD CONFLICT - ALSO HOLDS "&amp;R43,"OK - No Conflicting Role Held"))</f>
        <v>No Conflict Rule Applies to This Role</v>
      </c>
      <c r="T43" s="9" t="str">
        <f aca="false">IF(AND(H43="Admin",I43="Active"),IF(COUNTIFS(Recertifications!$B$2:$B$119,B43,Recertifications!$E$2:$E$119,F43,Recertifications!$K$2:$K$119,"&lt;&gt;")&gt;0,"OK - Recertified","EXCEPTION: PRIVILEGED ACCESS NEVER RECERTIFIED"),"N/A - Not Privileged")</f>
        <v>N/A - Not Privileged</v>
      </c>
      <c r="U43" s="9" t="str">
        <f aca="false">IF(OR(LEFT(M43,9)="EXCEPTION",LEFT(P43,9)="EXCEPTION",LEFT(S43,9)="EXCEPTION",LEFT(T43,9)="EXCEPTION"),"EXCEPTION","Clean")</f>
        <v>Clean</v>
      </c>
      <c r="V43" s="9" t="str">
        <f aca="false">IF(LEFT(M43,9)="EXCEPTION","Deprovisioning Control Gap",IF(LEFT(S43,9)="EXCEPTION","Segregation of Duties Conflict",IF(LEFT(P43,9)="EXCEPTION","Provisioning Approval Gap",IF(LEFT(T43,9)="EXCEPTION","Recertification Gap","N/A"))))</f>
        <v>N/A</v>
      </c>
    </row>
    <row r="44" customFormat="false" ht="15" hidden="false" customHeight="true" outlineLevel="0" collapsed="false">
      <c r="A44" s="9" t="str">
        <f aca="false">Access_Grants!A44</f>
        <v>AG-0043</v>
      </c>
      <c r="B44" s="9" t="str">
        <f aca="false">Access_Grants!B44</f>
        <v>E014</v>
      </c>
      <c r="C44" s="9" t="str">
        <f aca="false">Access_Grants!C44</f>
        <v>Raj Osei</v>
      </c>
      <c r="D44" s="9" t="str">
        <f aca="false">Access_Grants!D44</f>
        <v>Treasury</v>
      </c>
      <c r="E44" s="9" t="str">
        <f aca="false">Access_Grants!E44</f>
        <v>SYS-BANK</v>
      </c>
      <c r="F44" s="9" t="str">
        <f aca="false">Access_Grants!F44</f>
        <v>R13</v>
      </c>
      <c r="G44" s="9" t="str">
        <f aca="false">Access_Grants!G44</f>
        <v>Wire Initiation</v>
      </c>
      <c r="H44" s="9" t="str">
        <f aca="false">Access_Grants!H44</f>
        <v>Write</v>
      </c>
      <c r="I44" s="9" t="str">
        <f aca="false">Access_Grants!L44</f>
        <v>Active</v>
      </c>
      <c r="J44" s="10" t="n">
        <f aca="false">Access_Grants!I44</f>
        <v>45044</v>
      </c>
      <c r="K44" s="10" t="n">
        <f aca="false">IFERROR(INDEX(HR_Employees!$F$2:$F$51,MATCH(B44,HR_Employees!$A$2:$A$51,0)),"")</f>
        <v>0</v>
      </c>
      <c r="L44" s="10" t="str">
        <f aca="false">IF(Access_Grants!M44="","",Access_Grants!M44)</f>
        <v/>
      </c>
      <c r="M44" s="9" t="str">
        <f aca="false">IF(K44="","N/A - Active Employee",IF(OR(I44="Active",AND(L44&lt;&gt;"",L44&gt;K44+5)),"EXCEPTION: TERMINATED USER - ACCESS NOT REVOKED TIMELY","OK - Revoked Within SLA"))</f>
        <v>N/A - Active Employee</v>
      </c>
      <c r="N44" s="9" t="str">
        <f aca="false">Access_Grants!J44&amp;""</f>
        <v/>
      </c>
      <c r="O44" s="9" t="str">
        <f aca="false">Access_Grants!K44&amp;""</f>
        <v>CHG-50768</v>
      </c>
      <c r="P44" s="9" t="str">
        <f aca="false">IF(OR(TRIM(N44)="",TRIM(O44)=""),"EXCEPTION: NO DOCUMENTED APPROVAL","OK - Approved")</f>
        <v>EXCEPTION: NO DOCUMENTED APPROVAL</v>
      </c>
      <c r="Q44" s="9" t="str">
        <f aca="false">IFERROR(INDEX(SoD_Conflict_Matrix!$D$2:$D$7,MATCH(F44,SoD_Conflict_Matrix!$B$2:$B$7,0)),IFERROR(INDEX(SoD_Conflict_Matrix!$B$2:$B$7,MATCH(F44,SoD_Conflict_Matrix!$D$2:$D$7,0)),""))</f>
        <v>R14</v>
      </c>
      <c r="R44" s="9" t="str">
        <f aca="false">IFERROR(INDEX(SoD_Conflict_Matrix!$E$2:$E$7,MATCH(F44,SoD_Conflict_Matrix!$B$2:$B$7,0)),IFERROR(INDEX(SoD_Conflict_Matrix!$C$2:$C$7,MATCH(F44,SoD_Conflict_Matrix!$D$2:$D$7,0)),""))</f>
        <v>Wire Approval / Release</v>
      </c>
      <c r="S44" s="9" t="str">
        <f aca="false">IF(Q44="","No Conflict Rule Applies to This Role",IF(COUNTIFS(Access_Grants!$B$2:$B$175,B44,Access_Grants!$F$2:$F$175,Q44,Access_Grants!$L$2:$L$175,"Active")&gt;0,"EXCEPTION: SoD CONFLICT - ALSO HOLDS "&amp;R44,"OK - No Conflicting Role Held"))</f>
        <v>OK - No Conflicting Role Held</v>
      </c>
      <c r="T44" s="9" t="str">
        <f aca="false">IF(AND(H44="Admin",I44="Active"),IF(COUNTIFS(Recertifications!$B$2:$B$119,B44,Recertifications!$E$2:$E$119,F44,Recertifications!$K$2:$K$119,"&lt;&gt;")&gt;0,"OK - Recertified","EXCEPTION: PRIVILEGED ACCESS NEVER RECERTIFIED"),"N/A - Not Privileged")</f>
        <v>N/A - Not Privileged</v>
      </c>
      <c r="U44" s="9" t="str">
        <f aca="false">IF(OR(LEFT(M44,9)="EXCEPTION",LEFT(P44,9)="EXCEPTION",LEFT(S44,9)="EXCEPTION",LEFT(T44,9)="EXCEPTION"),"EXCEPTION","Clean")</f>
        <v>EXCEPTION</v>
      </c>
      <c r="V44" s="9" t="str">
        <f aca="false">IF(LEFT(M44,9)="EXCEPTION","Deprovisioning Control Gap",IF(LEFT(S44,9)="EXCEPTION","Segregation of Duties Conflict",IF(LEFT(P44,9)="EXCEPTION","Provisioning Approval Gap",IF(LEFT(T44,9)="EXCEPTION","Recertification Gap","N/A"))))</f>
        <v>Provisioning Approval Gap</v>
      </c>
    </row>
    <row r="45" customFormat="false" ht="15" hidden="false" customHeight="true" outlineLevel="0" collapsed="false">
      <c r="A45" s="9" t="str">
        <f aca="false">Access_Grants!A45</f>
        <v>AG-0044</v>
      </c>
      <c r="B45" s="9" t="str">
        <f aca="false">Access_Grants!B45</f>
        <v>E015</v>
      </c>
      <c r="C45" s="9" t="str">
        <f aca="false">Access_Grants!C45</f>
        <v>Zara Silva</v>
      </c>
      <c r="D45" s="9" t="str">
        <f aca="false">Access_Grants!D45</f>
        <v>IT Operations</v>
      </c>
      <c r="E45" s="9" t="str">
        <f aca="false">Access_Grants!E45</f>
        <v>SYS-HRIS</v>
      </c>
      <c r="F45" s="9" t="str">
        <f aca="false">Access_Grants!F45</f>
        <v>R08</v>
      </c>
      <c r="G45" s="9" t="str">
        <f aca="false">Access_Grants!G45</f>
        <v>Employee Master Read-Only</v>
      </c>
      <c r="H45" s="9" t="str">
        <f aca="false">Access_Grants!H45</f>
        <v>Read</v>
      </c>
      <c r="I45" s="9" t="str">
        <f aca="false">Access_Grants!L45</f>
        <v>Active</v>
      </c>
      <c r="J45" s="10" t="n">
        <f aca="false">Access_Grants!I45</f>
        <v>45175</v>
      </c>
      <c r="K45" s="10" t="n">
        <f aca="false">IFERROR(INDEX(HR_Employees!$F$2:$F$51,MATCH(B45,HR_Employees!$A$2:$A$51,0)),"")</f>
        <v>0</v>
      </c>
      <c r="L45" s="10" t="str">
        <f aca="false">IF(Access_Grants!M45="","",Access_Grants!M45)</f>
        <v/>
      </c>
      <c r="M45" s="9" t="str">
        <f aca="false">IF(K45="","N/A - Active Employee",IF(OR(I45="Active",AND(L45&lt;&gt;"",L45&gt;K45+5)),"EXCEPTION: TERMINATED USER - ACCESS NOT REVOKED TIMELY","OK - Revoked Within SLA"))</f>
        <v>N/A - Active Employee</v>
      </c>
      <c r="N45" s="9" t="str">
        <f aca="false">Access_Grants!J45&amp;""</f>
        <v>MGR-02</v>
      </c>
      <c r="O45" s="9" t="str">
        <f aca="false">Access_Grants!K45&amp;""</f>
        <v>CHG-49529</v>
      </c>
      <c r="P45" s="9" t="str">
        <f aca="false">IF(OR(TRIM(N45)="",TRIM(O45)=""),"EXCEPTION: NO DOCUMENTED APPROVAL","OK - Approved")</f>
        <v>OK - Approved</v>
      </c>
      <c r="Q45" s="9" t="str">
        <f aca="false">IFERROR(INDEX(SoD_Conflict_Matrix!$D$2:$D$7,MATCH(F45,SoD_Conflict_Matrix!$B$2:$B$7,0)),IFERROR(INDEX(SoD_Conflict_Matrix!$B$2:$B$7,MATCH(F45,SoD_Conflict_Matrix!$D$2:$D$7,0)),""))</f>
        <v/>
      </c>
      <c r="R45" s="9" t="str">
        <f aca="false">IFERROR(INDEX(SoD_Conflict_Matrix!$E$2:$E$7,MATCH(F45,SoD_Conflict_Matrix!$B$2:$B$7,0)),IFERROR(INDEX(SoD_Conflict_Matrix!$C$2:$C$7,MATCH(F45,SoD_Conflict_Matrix!$D$2:$D$7,0)),""))</f>
        <v/>
      </c>
      <c r="S45" s="9" t="str">
        <f aca="false">IF(Q45="","No Conflict Rule Applies to This Role",IF(COUNTIFS(Access_Grants!$B$2:$B$175,B45,Access_Grants!$F$2:$F$175,Q45,Access_Grants!$L$2:$L$175,"Active")&gt;0,"EXCEPTION: SoD CONFLICT - ALSO HOLDS "&amp;R45,"OK - No Conflicting Role Held"))</f>
        <v>No Conflict Rule Applies to This Role</v>
      </c>
      <c r="T45" s="9" t="str">
        <f aca="false">IF(AND(H45="Admin",I45="Active"),IF(COUNTIFS(Recertifications!$B$2:$B$119,B45,Recertifications!$E$2:$E$119,F45,Recertifications!$K$2:$K$119,"&lt;&gt;")&gt;0,"OK - Recertified","EXCEPTION: PRIVILEGED ACCESS NEVER RECERTIFIED"),"N/A - Not Privileged")</f>
        <v>N/A - Not Privileged</v>
      </c>
      <c r="U45" s="9" t="str">
        <f aca="false">IF(OR(LEFT(M45,9)="EXCEPTION",LEFT(P45,9)="EXCEPTION",LEFT(S45,9)="EXCEPTION",LEFT(T45,9)="EXCEPTION"),"EXCEPTION","Clean")</f>
        <v>Clean</v>
      </c>
      <c r="V45" s="9" t="str">
        <f aca="false">IF(LEFT(M45,9)="EXCEPTION","Deprovisioning Control Gap",IF(LEFT(S45,9)="EXCEPTION","Segregation of Duties Conflict",IF(LEFT(P45,9)="EXCEPTION","Provisioning Approval Gap",IF(LEFT(T45,9)="EXCEPTION","Recertification Gap","N/A"))))</f>
        <v>N/A</v>
      </c>
    </row>
    <row r="46" customFormat="false" ht="15" hidden="false" customHeight="true" outlineLevel="0" collapsed="false">
      <c r="A46" s="9" t="str">
        <f aca="false">Access_Grants!A46</f>
        <v>AG-0045</v>
      </c>
      <c r="B46" s="9" t="str">
        <f aca="false">Access_Grants!B46</f>
        <v>E015</v>
      </c>
      <c r="C46" s="9" t="str">
        <f aca="false">Access_Grants!C46</f>
        <v>Zara Silva</v>
      </c>
      <c r="D46" s="9" t="str">
        <f aca="false">Access_Grants!D46</f>
        <v>IT Operations</v>
      </c>
      <c r="E46" s="9" t="str">
        <f aca="false">Access_Grants!E46</f>
        <v>SYS-AD</v>
      </c>
      <c r="F46" s="9" t="str">
        <f aca="false">Access_Grants!F46</f>
        <v>R09</v>
      </c>
      <c r="G46" s="9" t="str">
        <f aca="false">Access_Grants!G46</f>
        <v>Standard Network User</v>
      </c>
      <c r="H46" s="9" t="str">
        <f aca="false">Access_Grants!H46</f>
        <v>Read</v>
      </c>
      <c r="I46" s="9" t="str">
        <f aca="false">Access_Grants!L46</f>
        <v>Active</v>
      </c>
      <c r="J46" s="10" t="n">
        <f aca="false">Access_Grants!I46</f>
        <v>45050</v>
      </c>
      <c r="K46" s="10" t="n">
        <f aca="false">IFERROR(INDEX(HR_Employees!$F$2:$F$51,MATCH(B46,HR_Employees!$A$2:$A$51,0)),"")</f>
        <v>0</v>
      </c>
      <c r="L46" s="10" t="str">
        <f aca="false">IF(Access_Grants!M46="","",Access_Grants!M46)</f>
        <v/>
      </c>
      <c r="M46" s="9" t="str">
        <f aca="false">IF(K46="","N/A - Active Employee",IF(OR(I46="Active",AND(L46&lt;&gt;"",L46&gt;K46+5)),"EXCEPTION: TERMINATED USER - ACCESS NOT REVOKED TIMELY","OK - Revoked Within SLA"))</f>
        <v>N/A - Active Employee</v>
      </c>
      <c r="N46" s="9" t="str">
        <f aca="false">Access_Grants!J46&amp;""</f>
        <v>MGR-10</v>
      </c>
      <c r="O46" s="9" t="str">
        <f aca="false">Access_Grants!K46&amp;""</f>
        <v>CHG-15383</v>
      </c>
      <c r="P46" s="9" t="str">
        <f aca="false">IF(OR(TRIM(N46)="",TRIM(O46)=""),"EXCEPTION: NO DOCUMENTED APPROVAL","OK - Approved")</f>
        <v>OK - Approved</v>
      </c>
      <c r="Q46" s="9" t="str">
        <f aca="false">IFERROR(INDEX(SoD_Conflict_Matrix!$D$2:$D$7,MATCH(F46,SoD_Conflict_Matrix!$B$2:$B$7,0)),IFERROR(INDEX(SoD_Conflict_Matrix!$B$2:$B$7,MATCH(F46,SoD_Conflict_Matrix!$D$2:$D$7,0)),""))</f>
        <v/>
      </c>
      <c r="R46" s="9" t="str">
        <f aca="false">IFERROR(INDEX(SoD_Conflict_Matrix!$E$2:$E$7,MATCH(F46,SoD_Conflict_Matrix!$B$2:$B$7,0)),IFERROR(INDEX(SoD_Conflict_Matrix!$C$2:$C$7,MATCH(F46,SoD_Conflict_Matrix!$D$2:$D$7,0)),""))</f>
        <v/>
      </c>
      <c r="S46" s="9" t="str">
        <f aca="false">IF(Q46="","No Conflict Rule Applies to This Role",IF(COUNTIFS(Access_Grants!$B$2:$B$175,B46,Access_Grants!$F$2:$F$175,Q46,Access_Grants!$L$2:$L$175,"Active")&gt;0,"EXCEPTION: SoD CONFLICT - ALSO HOLDS "&amp;R46,"OK - No Conflicting Role Held"))</f>
        <v>No Conflict Rule Applies to This Role</v>
      </c>
      <c r="T46" s="9" t="str">
        <f aca="false">IF(AND(H46="Admin",I46="Active"),IF(COUNTIFS(Recertifications!$B$2:$B$119,B46,Recertifications!$E$2:$E$119,F46,Recertifications!$K$2:$K$119,"&lt;&gt;")&gt;0,"OK - Recertified","EXCEPTION: PRIVILEGED ACCESS NEVER RECERTIFIED"),"N/A - Not Privileged")</f>
        <v>N/A - Not Privileged</v>
      </c>
      <c r="U46" s="9" t="str">
        <f aca="false">IF(OR(LEFT(M46,9)="EXCEPTION",LEFT(P46,9)="EXCEPTION",LEFT(S46,9)="EXCEPTION",LEFT(T46,9)="EXCEPTION"),"EXCEPTION","Clean")</f>
        <v>Clean</v>
      </c>
      <c r="V46" s="9" t="str">
        <f aca="false">IF(LEFT(M46,9)="EXCEPTION","Deprovisioning Control Gap",IF(LEFT(S46,9)="EXCEPTION","Segregation of Duties Conflict",IF(LEFT(P46,9)="EXCEPTION","Provisioning Approval Gap",IF(LEFT(T46,9)="EXCEPTION","Recertification Gap","N/A"))))</f>
        <v>N/A</v>
      </c>
    </row>
    <row r="47" customFormat="false" ht="15" hidden="false" customHeight="true" outlineLevel="0" collapsed="false">
      <c r="A47" s="9" t="str">
        <f aca="false">Access_Grants!A47</f>
        <v>AG-0046</v>
      </c>
      <c r="B47" s="9" t="str">
        <f aca="false">Access_Grants!B47</f>
        <v>E015</v>
      </c>
      <c r="C47" s="9" t="str">
        <f aca="false">Access_Grants!C47</f>
        <v>Zara Silva</v>
      </c>
      <c r="D47" s="9" t="str">
        <f aca="false">Access_Grants!D47</f>
        <v>IT Operations</v>
      </c>
      <c r="E47" s="9" t="str">
        <f aca="false">Access_Grants!E47</f>
        <v>SYS-AD</v>
      </c>
      <c r="F47" s="9" t="str">
        <f aca="false">Access_Grants!F47</f>
        <v>R10</v>
      </c>
      <c r="G47" s="9" t="str">
        <f aca="false">Access_Grants!G47</f>
        <v>Domain Administrator</v>
      </c>
      <c r="H47" s="9" t="str">
        <f aca="false">Access_Grants!H47</f>
        <v>Admin</v>
      </c>
      <c r="I47" s="9" t="str">
        <f aca="false">Access_Grants!L47</f>
        <v>Revoked</v>
      </c>
      <c r="J47" s="10" t="n">
        <f aca="false">Access_Grants!I47</f>
        <v>45306</v>
      </c>
      <c r="K47" s="10" t="n">
        <f aca="false">IFERROR(INDEX(HR_Employees!$F$2:$F$51,MATCH(B47,HR_Employees!$A$2:$A$51,0)),"")</f>
        <v>0</v>
      </c>
      <c r="L47" s="10" t="n">
        <f aca="false">IF(Access_Grants!M47="","",Access_Grants!M47)</f>
        <v>45736</v>
      </c>
      <c r="M47" s="9" t="str">
        <f aca="false">IF(K47="","N/A - Active Employee",IF(OR(I47="Active",AND(L47&lt;&gt;"",L47&gt;K47+5)),"EXCEPTION: TERMINATED USER - ACCESS NOT REVOKED TIMELY","OK - Revoked Within SLA"))</f>
        <v>N/A - Active Employee</v>
      </c>
      <c r="N47" s="9" t="str">
        <f aca="false">Access_Grants!J47&amp;""</f>
        <v>MGR-02</v>
      </c>
      <c r="O47" s="9" t="str">
        <f aca="false">Access_Grants!K47&amp;""</f>
        <v>CHG-76317</v>
      </c>
      <c r="P47" s="9" t="str">
        <f aca="false">IF(OR(TRIM(N47)="",TRIM(O47)=""),"EXCEPTION: NO DOCUMENTED APPROVAL","OK - Approved")</f>
        <v>OK - Approved</v>
      </c>
      <c r="Q47" s="9" t="str">
        <f aca="false">IFERROR(INDEX(SoD_Conflict_Matrix!$D$2:$D$7,MATCH(F47,SoD_Conflict_Matrix!$B$2:$B$7,0)),IFERROR(INDEX(SoD_Conflict_Matrix!$B$2:$B$7,MATCH(F47,SoD_Conflict_Matrix!$D$2:$D$7,0)),""))</f>
        <v/>
      </c>
      <c r="R47" s="9" t="str">
        <f aca="false">IFERROR(INDEX(SoD_Conflict_Matrix!$E$2:$E$7,MATCH(F47,SoD_Conflict_Matrix!$B$2:$B$7,0)),IFERROR(INDEX(SoD_Conflict_Matrix!$C$2:$C$7,MATCH(F47,SoD_Conflict_Matrix!$D$2:$D$7,0)),""))</f>
        <v/>
      </c>
      <c r="S47" s="9" t="str">
        <f aca="false">IF(Q47="","No Conflict Rule Applies to This Role",IF(COUNTIFS(Access_Grants!$B$2:$B$175,B47,Access_Grants!$F$2:$F$175,Q47,Access_Grants!$L$2:$L$175,"Active")&gt;0,"EXCEPTION: SoD CONFLICT - ALSO HOLDS "&amp;R47,"OK - No Conflicting Role Held"))</f>
        <v>No Conflict Rule Applies to This Role</v>
      </c>
      <c r="T47" s="9" t="str">
        <f aca="false">IF(AND(H47="Admin",I47="Active"),IF(COUNTIFS(Recertifications!$B$2:$B$119,B47,Recertifications!$E$2:$E$119,F47,Recertifications!$K$2:$K$119,"&lt;&gt;")&gt;0,"OK - Recertified","EXCEPTION: PRIVILEGED ACCESS NEVER RECERTIFIED"),"N/A - Not Privileged")</f>
        <v>N/A - Not Privileged</v>
      </c>
      <c r="U47" s="9" t="str">
        <f aca="false">IF(OR(LEFT(M47,9)="EXCEPTION",LEFT(P47,9)="EXCEPTION",LEFT(S47,9)="EXCEPTION",LEFT(T47,9)="EXCEPTION"),"EXCEPTION","Clean")</f>
        <v>Clean</v>
      </c>
      <c r="V47" s="9" t="str">
        <f aca="false">IF(LEFT(M47,9)="EXCEPTION","Deprovisioning Control Gap",IF(LEFT(S47,9)="EXCEPTION","Segregation of Duties Conflict",IF(LEFT(P47,9)="EXCEPTION","Provisioning Approval Gap",IF(LEFT(T47,9)="EXCEPTION","Recertification Gap","N/A"))))</f>
        <v>N/A</v>
      </c>
    </row>
    <row r="48" customFormat="false" ht="15" hidden="false" customHeight="true" outlineLevel="0" collapsed="false">
      <c r="A48" s="9" t="str">
        <f aca="false">Access_Grants!A48</f>
        <v>AG-0047</v>
      </c>
      <c r="B48" s="9" t="str">
        <f aca="false">Access_Grants!B48</f>
        <v>E015</v>
      </c>
      <c r="C48" s="9" t="str">
        <f aca="false">Access_Grants!C48</f>
        <v>Zara Silva</v>
      </c>
      <c r="D48" s="9" t="str">
        <f aca="false">Access_Grants!D48</f>
        <v>IT Operations</v>
      </c>
      <c r="E48" s="9" t="str">
        <f aca="false">Access_Grants!E48</f>
        <v>SYS-BANK</v>
      </c>
      <c r="F48" s="9" t="str">
        <f aca="false">Access_Grants!F48</f>
        <v>R13</v>
      </c>
      <c r="G48" s="9" t="str">
        <f aca="false">Access_Grants!G48</f>
        <v>Wire Initiation</v>
      </c>
      <c r="H48" s="9" t="str">
        <f aca="false">Access_Grants!H48</f>
        <v>Write</v>
      </c>
      <c r="I48" s="9" t="str">
        <f aca="false">Access_Grants!L48</f>
        <v>Active</v>
      </c>
      <c r="J48" s="10" t="n">
        <f aca="false">Access_Grants!I48</f>
        <v>45428</v>
      </c>
      <c r="K48" s="10" t="n">
        <f aca="false">IFERROR(INDEX(HR_Employees!$F$2:$F$51,MATCH(B48,HR_Employees!$A$2:$A$51,0)),"")</f>
        <v>0</v>
      </c>
      <c r="L48" s="10" t="str">
        <f aca="false">IF(Access_Grants!M48="","",Access_Grants!M48)</f>
        <v/>
      </c>
      <c r="M48" s="9" t="str">
        <f aca="false">IF(K48="","N/A - Active Employee",IF(OR(I48="Active",AND(L48&lt;&gt;"",L48&gt;K48+5)),"EXCEPTION: TERMINATED USER - ACCESS NOT REVOKED TIMELY","OK - Revoked Within SLA"))</f>
        <v>N/A - Active Employee</v>
      </c>
      <c r="N48" s="9" t="str">
        <f aca="false">Access_Grants!J48&amp;""</f>
        <v>MGR-02</v>
      </c>
      <c r="O48" s="9" t="str">
        <f aca="false">Access_Grants!K48&amp;""</f>
        <v>CHG-66822</v>
      </c>
      <c r="P48" s="9" t="str">
        <f aca="false">IF(OR(TRIM(N48)="",TRIM(O48)=""),"EXCEPTION: NO DOCUMENTED APPROVAL","OK - Approved")</f>
        <v>OK - Approved</v>
      </c>
      <c r="Q48" s="9" t="str">
        <f aca="false">IFERROR(INDEX(SoD_Conflict_Matrix!$D$2:$D$7,MATCH(F48,SoD_Conflict_Matrix!$B$2:$B$7,0)),IFERROR(INDEX(SoD_Conflict_Matrix!$B$2:$B$7,MATCH(F48,SoD_Conflict_Matrix!$D$2:$D$7,0)),""))</f>
        <v>R14</v>
      </c>
      <c r="R48" s="9" t="str">
        <f aca="false">IFERROR(INDEX(SoD_Conflict_Matrix!$E$2:$E$7,MATCH(F48,SoD_Conflict_Matrix!$B$2:$B$7,0)),IFERROR(INDEX(SoD_Conflict_Matrix!$C$2:$C$7,MATCH(F48,SoD_Conflict_Matrix!$D$2:$D$7,0)),""))</f>
        <v>Wire Approval / Release</v>
      </c>
      <c r="S48" s="9" t="str">
        <f aca="false">IF(Q48="","No Conflict Rule Applies to This Role",IF(COUNTIFS(Access_Grants!$B$2:$B$175,B48,Access_Grants!$F$2:$F$175,Q48,Access_Grants!$L$2:$L$175,"Active")&gt;0,"EXCEPTION: SoD CONFLICT - ALSO HOLDS "&amp;R48,"OK - No Conflicting Role Held"))</f>
        <v>EXCEPTION: SoD CONFLICT - ALSO HOLDS Wire Approval / Release</v>
      </c>
      <c r="T48" s="9" t="str">
        <f aca="false">IF(AND(H48="Admin",I48="Active"),IF(COUNTIFS(Recertifications!$B$2:$B$119,B48,Recertifications!$E$2:$E$119,F48,Recertifications!$K$2:$K$119,"&lt;&gt;")&gt;0,"OK - Recertified","EXCEPTION: PRIVILEGED ACCESS NEVER RECERTIFIED"),"N/A - Not Privileged")</f>
        <v>N/A - Not Privileged</v>
      </c>
      <c r="U48" s="9" t="str">
        <f aca="false">IF(OR(LEFT(M48,9)="EXCEPTION",LEFT(P48,9)="EXCEPTION",LEFT(S48,9)="EXCEPTION",LEFT(T48,9)="EXCEPTION"),"EXCEPTION","Clean")</f>
        <v>EXCEPTION</v>
      </c>
      <c r="V48" s="9" t="str">
        <f aca="false">IF(LEFT(M48,9)="EXCEPTION","Deprovisioning Control Gap",IF(LEFT(S48,9)="EXCEPTION","Segregation of Duties Conflict",IF(LEFT(P48,9)="EXCEPTION","Provisioning Approval Gap",IF(LEFT(T48,9)="EXCEPTION","Recertification Gap","N/A"))))</f>
        <v>Segregation of Duties Conflict</v>
      </c>
    </row>
    <row r="49" customFormat="false" ht="15" hidden="false" customHeight="true" outlineLevel="0" collapsed="false">
      <c r="A49" s="9" t="str">
        <f aca="false">Access_Grants!A49</f>
        <v>AG-0048</v>
      </c>
      <c r="B49" s="9" t="str">
        <f aca="false">Access_Grants!B49</f>
        <v>E015</v>
      </c>
      <c r="C49" s="9" t="str">
        <f aca="false">Access_Grants!C49</f>
        <v>Zara Silva</v>
      </c>
      <c r="D49" s="9" t="str">
        <f aca="false">Access_Grants!D49</f>
        <v>IT Operations</v>
      </c>
      <c r="E49" s="9" t="str">
        <f aca="false">Access_Grants!E49</f>
        <v>SYS-BANK</v>
      </c>
      <c r="F49" s="9" t="str">
        <f aca="false">Access_Grants!F49</f>
        <v>R14</v>
      </c>
      <c r="G49" s="9" t="str">
        <f aca="false">Access_Grants!G49</f>
        <v>Wire Approval / Release</v>
      </c>
      <c r="H49" s="9" t="str">
        <f aca="false">Access_Grants!H49</f>
        <v>Admin</v>
      </c>
      <c r="I49" s="9" t="str">
        <f aca="false">Access_Grants!L49</f>
        <v>Active</v>
      </c>
      <c r="J49" s="10" t="n">
        <f aca="false">Access_Grants!I49</f>
        <v>45397</v>
      </c>
      <c r="K49" s="10" t="n">
        <f aca="false">IFERROR(INDEX(HR_Employees!$F$2:$F$51,MATCH(B49,HR_Employees!$A$2:$A$51,0)),"")</f>
        <v>0</v>
      </c>
      <c r="L49" s="10" t="str">
        <f aca="false">IF(Access_Grants!M49="","",Access_Grants!M49)</f>
        <v/>
      </c>
      <c r="M49" s="9" t="str">
        <f aca="false">IF(K49="","N/A - Active Employee",IF(OR(I49="Active",AND(L49&lt;&gt;"",L49&gt;K49+5)),"EXCEPTION: TERMINATED USER - ACCESS NOT REVOKED TIMELY","OK - Revoked Within SLA"))</f>
        <v>N/A - Active Employee</v>
      </c>
      <c r="N49" s="9" t="str">
        <f aca="false">Access_Grants!J49&amp;""</f>
        <v>MGR-03</v>
      </c>
      <c r="O49" s="9" t="str">
        <f aca="false">Access_Grants!K49&amp;""</f>
        <v>CHG-67080</v>
      </c>
      <c r="P49" s="9" t="str">
        <f aca="false">IF(OR(TRIM(N49)="",TRIM(O49)=""),"EXCEPTION: NO DOCUMENTED APPROVAL","OK - Approved")</f>
        <v>OK - Approved</v>
      </c>
      <c r="Q49" s="9" t="str">
        <f aca="false">IFERROR(INDEX(SoD_Conflict_Matrix!$D$2:$D$7,MATCH(F49,SoD_Conflict_Matrix!$B$2:$B$7,0)),IFERROR(INDEX(SoD_Conflict_Matrix!$B$2:$B$7,MATCH(F49,SoD_Conflict_Matrix!$D$2:$D$7,0)),""))</f>
        <v>R13</v>
      </c>
      <c r="R49" s="9" t="str">
        <f aca="false">IFERROR(INDEX(SoD_Conflict_Matrix!$E$2:$E$7,MATCH(F49,SoD_Conflict_Matrix!$B$2:$B$7,0)),IFERROR(INDEX(SoD_Conflict_Matrix!$C$2:$C$7,MATCH(F49,SoD_Conflict_Matrix!$D$2:$D$7,0)),""))</f>
        <v>Wire Initiation</v>
      </c>
      <c r="S49" s="9" t="str">
        <f aca="false">IF(Q49="","No Conflict Rule Applies to This Role",IF(COUNTIFS(Access_Grants!$B$2:$B$175,B49,Access_Grants!$F$2:$F$175,Q49,Access_Grants!$L$2:$L$175,"Active")&gt;0,"EXCEPTION: SoD CONFLICT - ALSO HOLDS "&amp;R49,"OK - No Conflicting Role Held"))</f>
        <v>EXCEPTION: SoD CONFLICT - ALSO HOLDS Wire Initiation</v>
      </c>
      <c r="T49" s="9" t="str">
        <f aca="false">IF(AND(H49="Admin",I49="Active"),IF(COUNTIFS(Recertifications!$B$2:$B$119,B49,Recertifications!$E$2:$E$119,F49,Recertifications!$K$2:$K$119,"&lt;&gt;")&gt;0,"OK - Recertified","EXCEPTION: PRIVILEGED ACCESS NEVER RECERTIFIED"),"N/A - Not Privileged")</f>
        <v>EXCEPTION: PRIVILEGED ACCESS NEVER RECERTIFIED</v>
      </c>
      <c r="U49" s="9" t="str">
        <f aca="false">IF(OR(LEFT(M49,9)="EXCEPTION",LEFT(P49,9)="EXCEPTION",LEFT(S49,9)="EXCEPTION",LEFT(T49,9)="EXCEPTION"),"EXCEPTION","Clean")</f>
        <v>EXCEPTION</v>
      </c>
      <c r="V49" s="9" t="str">
        <f aca="false">IF(LEFT(M49,9)="EXCEPTION","Deprovisioning Control Gap",IF(LEFT(S49,9)="EXCEPTION","Segregation of Duties Conflict",IF(LEFT(P49,9)="EXCEPTION","Provisioning Approval Gap",IF(LEFT(T49,9)="EXCEPTION","Recertification Gap","N/A"))))</f>
        <v>Segregation of Duties Conflict</v>
      </c>
    </row>
    <row r="50" customFormat="false" ht="15" hidden="false" customHeight="true" outlineLevel="0" collapsed="false">
      <c r="A50" s="9" t="str">
        <f aca="false">Access_Grants!A50</f>
        <v>AG-0049</v>
      </c>
      <c r="B50" s="9" t="str">
        <f aca="false">Access_Grants!B50</f>
        <v>E016</v>
      </c>
      <c r="C50" s="9" t="str">
        <f aca="false">Access_Grants!C50</f>
        <v>Tariq Petrov</v>
      </c>
      <c r="D50" s="9" t="str">
        <f aca="false">Access_Grants!D50</f>
        <v>HR</v>
      </c>
      <c r="E50" s="9" t="str">
        <f aca="false">Access_Grants!E50</f>
        <v>SYS-HRIS</v>
      </c>
      <c r="F50" s="9" t="str">
        <f aca="false">Access_Grants!F50</f>
        <v>R07</v>
      </c>
      <c r="G50" s="9" t="str">
        <f aca="false">Access_Grants!G50</f>
        <v>Payroll Approval / Release</v>
      </c>
      <c r="H50" s="9" t="str">
        <f aca="false">Access_Grants!H50</f>
        <v>Admin</v>
      </c>
      <c r="I50" s="9" t="str">
        <f aca="false">Access_Grants!L50</f>
        <v>Active</v>
      </c>
      <c r="J50" s="10" t="n">
        <f aca="false">Access_Grants!I50</f>
        <v>45650</v>
      </c>
      <c r="K50" s="10" t="n">
        <f aca="false">IFERROR(INDEX(HR_Employees!$F$2:$F$51,MATCH(B50,HR_Employees!$A$2:$A$51,0)),"")</f>
        <v>0</v>
      </c>
      <c r="L50" s="10" t="str">
        <f aca="false">IF(Access_Grants!M50="","",Access_Grants!M50)</f>
        <v/>
      </c>
      <c r="M50" s="9" t="str">
        <f aca="false">IF(K50="","N/A - Active Employee",IF(OR(I50="Active",AND(L50&lt;&gt;"",L50&gt;K50+5)),"EXCEPTION: TERMINATED USER - ACCESS NOT REVOKED TIMELY","OK - Revoked Within SLA"))</f>
        <v>N/A - Active Employee</v>
      </c>
      <c r="N50" s="9" t="str">
        <f aca="false">Access_Grants!J50&amp;""</f>
        <v>MGR-06</v>
      </c>
      <c r="O50" s="9" t="str">
        <f aca="false">Access_Grants!K50&amp;""</f>
        <v>CHG-42177</v>
      </c>
      <c r="P50" s="9" t="str">
        <f aca="false">IF(OR(TRIM(N50)="",TRIM(O50)=""),"EXCEPTION: NO DOCUMENTED APPROVAL","OK - Approved")</f>
        <v>OK - Approved</v>
      </c>
      <c r="Q50" s="9" t="str">
        <f aca="false">IFERROR(INDEX(SoD_Conflict_Matrix!$D$2:$D$7,MATCH(F50,SoD_Conflict_Matrix!$B$2:$B$7,0)),IFERROR(INDEX(SoD_Conflict_Matrix!$B$2:$B$7,MATCH(F50,SoD_Conflict_Matrix!$D$2:$D$7,0)),""))</f>
        <v>R06</v>
      </c>
      <c r="R50" s="9" t="str">
        <f aca="false">IFERROR(INDEX(SoD_Conflict_Matrix!$E$2:$E$7,MATCH(F50,SoD_Conflict_Matrix!$B$2:$B$7,0)),IFERROR(INDEX(SoD_Conflict_Matrix!$C$2:$C$7,MATCH(F50,SoD_Conflict_Matrix!$D$2:$D$7,0)),""))</f>
        <v>Payroll Data Entry</v>
      </c>
      <c r="S50" s="9" t="str">
        <f aca="false">IF(Q50="","No Conflict Rule Applies to This Role",IF(COUNTIFS(Access_Grants!$B$2:$B$175,B50,Access_Grants!$F$2:$F$175,Q50,Access_Grants!$L$2:$L$175,"Active")&gt;0,"EXCEPTION: SoD CONFLICT - ALSO HOLDS "&amp;R50,"OK - No Conflicting Role Held"))</f>
        <v>EXCEPTION: SoD CONFLICT - ALSO HOLDS Payroll Data Entry</v>
      </c>
      <c r="T50" s="9" t="str">
        <f aca="false">IF(AND(H50="Admin",I50="Active"),IF(COUNTIFS(Recertifications!$B$2:$B$119,B50,Recertifications!$E$2:$E$119,F50,Recertifications!$K$2:$K$119,"&lt;&gt;")&gt;0,"OK - Recertified","EXCEPTION: PRIVILEGED ACCESS NEVER RECERTIFIED"),"N/A - Not Privileged")</f>
        <v>OK - Recertified</v>
      </c>
      <c r="U50" s="9" t="str">
        <f aca="false">IF(OR(LEFT(M50,9)="EXCEPTION",LEFT(P50,9)="EXCEPTION",LEFT(S50,9)="EXCEPTION",LEFT(T50,9)="EXCEPTION"),"EXCEPTION","Clean")</f>
        <v>EXCEPTION</v>
      </c>
      <c r="V50" s="9" t="str">
        <f aca="false">IF(LEFT(M50,9)="EXCEPTION","Deprovisioning Control Gap",IF(LEFT(S50,9)="EXCEPTION","Segregation of Duties Conflict",IF(LEFT(P50,9)="EXCEPTION","Provisioning Approval Gap",IF(LEFT(T50,9)="EXCEPTION","Recertification Gap","N/A"))))</f>
        <v>Segregation of Duties Conflict</v>
      </c>
    </row>
    <row r="51" customFormat="false" ht="15" hidden="false" customHeight="true" outlineLevel="0" collapsed="false">
      <c r="A51" s="9" t="str">
        <f aca="false">Access_Grants!A51</f>
        <v>AG-0050</v>
      </c>
      <c r="B51" s="9" t="str">
        <f aca="false">Access_Grants!B51</f>
        <v>E016</v>
      </c>
      <c r="C51" s="9" t="str">
        <f aca="false">Access_Grants!C51</f>
        <v>Tariq Petrov</v>
      </c>
      <c r="D51" s="9" t="str">
        <f aca="false">Access_Grants!D51</f>
        <v>HR</v>
      </c>
      <c r="E51" s="9" t="str">
        <f aca="false">Access_Grants!E51</f>
        <v>SYS-HRIS</v>
      </c>
      <c r="F51" s="9" t="str">
        <f aca="false">Access_Grants!F51</f>
        <v>R08</v>
      </c>
      <c r="G51" s="9" t="str">
        <f aca="false">Access_Grants!G51</f>
        <v>Employee Master Read-Only</v>
      </c>
      <c r="H51" s="9" t="str">
        <f aca="false">Access_Grants!H51</f>
        <v>Read</v>
      </c>
      <c r="I51" s="9" t="str">
        <f aca="false">Access_Grants!L51</f>
        <v>Active</v>
      </c>
      <c r="J51" s="10" t="n">
        <f aca="false">Access_Grants!I51</f>
        <v>46024</v>
      </c>
      <c r="K51" s="10" t="n">
        <f aca="false">IFERROR(INDEX(HR_Employees!$F$2:$F$51,MATCH(B51,HR_Employees!$A$2:$A$51,0)),"")</f>
        <v>0</v>
      </c>
      <c r="L51" s="10" t="str">
        <f aca="false">IF(Access_Grants!M51="","",Access_Grants!M51)</f>
        <v/>
      </c>
      <c r="M51" s="9" t="str">
        <f aca="false">IF(K51="","N/A - Active Employee",IF(OR(I51="Active",AND(L51&lt;&gt;"",L51&gt;K51+5)),"EXCEPTION: TERMINATED USER - ACCESS NOT REVOKED TIMELY","OK - Revoked Within SLA"))</f>
        <v>N/A - Active Employee</v>
      </c>
      <c r="N51" s="9" t="str">
        <f aca="false">Access_Grants!J51&amp;""</f>
        <v>MGR-04</v>
      </c>
      <c r="O51" s="9" t="str">
        <f aca="false">Access_Grants!K51&amp;""</f>
        <v>CHG-70910</v>
      </c>
      <c r="P51" s="9" t="str">
        <f aca="false">IF(OR(TRIM(N51)="",TRIM(O51)=""),"EXCEPTION: NO DOCUMENTED APPROVAL","OK - Approved")</f>
        <v>OK - Approved</v>
      </c>
      <c r="Q51" s="9" t="str">
        <f aca="false">IFERROR(INDEX(SoD_Conflict_Matrix!$D$2:$D$7,MATCH(F51,SoD_Conflict_Matrix!$B$2:$B$7,0)),IFERROR(INDEX(SoD_Conflict_Matrix!$B$2:$B$7,MATCH(F51,SoD_Conflict_Matrix!$D$2:$D$7,0)),""))</f>
        <v/>
      </c>
      <c r="R51" s="9" t="str">
        <f aca="false">IFERROR(INDEX(SoD_Conflict_Matrix!$E$2:$E$7,MATCH(F51,SoD_Conflict_Matrix!$B$2:$B$7,0)),IFERROR(INDEX(SoD_Conflict_Matrix!$C$2:$C$7,MATCH(F51,SoD_Conflict_Matrix!$D$2:$D$7,0)),""))</f>
        <v/>
      </c>
      <c r="S51" s="9" t="str">
        <f aca="false">IF(Q51="","No Conflict Rule Applies to This Role",IF(COUNTIFS(Access_Grants!$B$2:$B$175,B51,Access_Grants!$F$2:$F$175,Q51,Access_Grants!$L$2:$L$175,"Active")&gt;0,"EXCEPTION: SoD CONFLICT - ALSO HOLDS "&amp;R51,"OK - No Conflicting Role Held"))</f>
        <v>No Conflict Rule Applies to This Role</v>
      </c>
      <c r="T51" s="9" t="str">
        <f aca="false">IF(AND(H51="Admin",I51="Active"),IF(COUNTIFS(Recertifications!$B$2:$B$119,B51,Recertifications!$E$2:$E$119,F51,Recertifications!$K$2:$K$119,"&lt;&gt;")&gt;0,"OK - Recertified","EXCEPTION: PRIVILEGED ACCESS NEVER RECERTIFIED"),"N/A - Not Privileged")</f>
        <v>N/A - Not Privileged</v>
      </c>
      <c r="U51" s="9" t="str">
        <f aca="false">IF(OR(LEFT(M51,9)="EXCEPTION",LEFT(P51,9)="EXCEPTION",LEFT(S51,9)="EXCEPTION",LEFT(T51,9)="EXCEPTION"),"EXCEPTION","Clean")</f>
        <v>Clean</v>
      </c>
      <c r="V51" s="9" t="str">
        <f aca="false">IF(LEFT(M51,9)="EXCEPTION","Deprovisioning Control Gap",IF(LEFT(S51,9)="EXCEPTION","Segregation of Duties Conflict",IF(LEFT(P51,9)="EXCEPTION","Provisioning Approval Gap",IF(LEFT(T51,9)="EXCEPTION","Recertification Gap","N/A"))))</f>
        <v>N/A</v>
      </c>
    </row>
    <row r="52" customFormat="false" ht="15" hidden="false" customHeight="true" outlineLevel="0" collapsed="false">
      <c r="A52" s="9" t="str">
        <f aca="false">Access_Grants!A52</f>
        <v>AG-0051</v>
      </c>
      <c r="B52" s="9" t="str">
        <f aca="false">Access_Grants!B52</f>
        <v>E016</v>
      </c>
      <c r="C52" s="9" t="str">
        <f aca="false">Access_Grants!C52</f>
        <v>Tariq Petrov</v>
      </c>
      <c r="D52" s="9" t="str">
        <f aca="false">Access_Grants!D52</f>
        <v>HR</v>
      </c>
      <c r="E52" s="9" t="str">
        <f aca="false">Access_Grants!E52</f>
        <v>SYS-AD</v>
      </c>
      <c r="F52" s="9" t="str">
        <f aca="false">Access_Grants!F52</f>
        <v>R09</v>
      </c>
      <c r="G52" s="9" t="str">
        <f aca="false">Access_Grants!G52</f>
        <v>Standard Network User</v>
      </c>
      <c r="H52" s="9" t="str">
        <f aca="false">Access_Grants!H52</f>
        <v>Read</v>
      </c>
      <c r="I52" s="9" t="str">
        <f aca="false">Access_Grants!L52</f>
        <v>Active</v>
      </c>
      <c r="J52" s="10" t="n">
        <f aca="false">Access_Grants!I52</f>
        <v>45789</v>
      </c>
      <c r="K52" s="10" t="n">
        <f aca="false">IFERROR(INDEX(HR_Employees!$F$2:$F$51,MATCH(B52,HR_Employees!$A$2:$A$51,0)),"")</f>
        <v>0</v>
      </c>
      <c r="L52" s="10" t="str">
        <f aca="false">IF(Access_Grants!M52="","",Access_Grants!M52)</f>
        <v/>
      </c>
      <c r="M52" s="9" t="str">
        <f aca="false">IF(K52="","N/A - Active Employee",IF(OR(I52="Active",AND(L52&lt;&gt;"",L52&gt;K52+5)),"EXCEPTION: TERMINATED USER - ACCESS NOT REVOKED TIMELY","OK - Revoked Within SLA"))</f>
        <v>N/A - Active Employee</v>
      </c>
      <c r="N52" s="9" t="str">
        <f aca="false">Access_Grants!J52&amp;""</f>
        <v>MGR-01</v>
      </c>
      <c r="O52" s="9" t="str">
        <f aca="false">Access_Grants!K52&amp;""</f>
        <v>CHG-74789</v>
      </c>
      <c r="P52" s="9" t="str">
        <f aca="false">IF(OR(TRIM(N52)="",TRIM(O52)=""),"EXCEPTION: NO DOCUMENTED APPROVAL","OK - Approved")</f>
        <v>OK - Approved</v>
      </c>
      <c r="Q52" s="9" t="str">
        <f aca="false">IFERROR(INDEX(SoD_Conflict_Matrix!$D$2:$D$7,MATCH(F52,SoD_Conflict_Matrix!$B$2:$B$7,0)),IFERROR(INDEX(SoD_Conflict_Matrix!$B$2:$B$7,MATCH(F52,SoD_Conflict_Matrix!$D$2:$D$7,0)),""))</f>
        <v/>
      </c>
      <c r="R52" s="9" t="str">
        <f aca="false">IFERROR(INDEX(SoD_Conflict_Matrix!$E$2:$E$7,MATCH(F52,SoD_Conflict_Matrix!$B$2:$B$7,0)),IFERROR(INDEX(SoD_Conflict_Matrix!$C$2:$C$7,MATCH(F52,SoD_Conflict_Matrix!$D$2:$D$7,0)),""))</f>
        <v/>
      </c>
      <c r="S52" s="9" t="str">
        <f aca="false">IF(Q52="","No Conflict Rule Applies to This Role",IF(COUNTIFS(Access_Grants!$B$2:$B$175,B52,Access_Grants!$F$2:$F$175,Q52,Access_Grants!$L$2:$L$175,"Active")&gt;0,"EXCEPTION: SoD CONFLICT - ALSO HOLDS "&amp;R52,"OK - No Conflicting Role Held"))</f>
        <v>No Conflict Rule Applies to This Role</v>
      </c>
      <c r="T52" s="9" t="str">
        <f aca="false">IF(AND(H52="Admin",I52="Active"),IF(COUNTIFS(Recertifications!$B$2:$B$119,B52,Recertifications!$E$2:$E$119,F52,Recertifications!$K$2:$K$119,"&lt;&gt;")&gt;0,"OK - Recertified","EXCEPTION: PRIVILEGED ACCESS NEVER RECERTIFIED"),"N/A - Not Privileged")</f>
        <v>N/A - Not Privileged</v>
      </c>
      <c r="U52" s="9" t="str">
        <f aca="false">IF(OR(LEFT(M52,9)="EXCEPTION",LEFT(P52,9)="EXCEPTION",LEFT(S52,9)="EXCEPTION",LEFT(T52,9)="EXCEPTION"),"EXCEPTION","Clean")</f>
        <v>Clean</v>
      </c>
      <c r="V52" s="9" t="str">
        <f aca="false">IF(LEFT(M52,9)="EXCEPTION","Deprovisioning Control Gap",IF(LEFT(S52,9)="EXCEPTION","Segregation of Duties Conflict",IF(LEFT(P52,9)="EXCEPTION","Provisioning Approval Gap",IF(LEFT(T52,9)="EXCEPTION","Recertification Gap","N/A"))))</f>
        <v>N/A</v>
      </c>
    </row>
    <row r="53" customFormat="false" ht="15" hidden="false" customHeight="true" outlineLevel="0" collapsed="false">
      <c r="A53" s="9" t="str">
        <f aca="false">Access_Grants!A53</f>
        <v>AG-0052</v>
      </c>
      <c r="B53" s="9" t="str">
        <f aca="false">Access_Grants!B53</f>
        <v>E016</v>
      </c>
      <c r="C53" s="9" t="str">
        <f aca="false">Access_Grants!C53</f>
        <v>Tariq Petrov</v>
      </c>
      <c r="D53" s="9" t="str">
        <f aca="false">Access_Grants!D53</f>
        <v>HR</v>
      </c>
      <c r="E53" s="9" t="str">
        <f aca="false">Access_Grants!E53</f>
        <v>SYS-HRIS</v>
      </c>
      <c r="F53" s="9" t="str">
        <f aca="false">Access_Grants!F53</f>
        <v>R06</v>
      </c>
      <c r="G53" s="9" t="str">
        <f aca="false">Access_Grants!G53</f>
        <v>Payroll Data Entry</v>
      </c>
      <c r="H53" s="9" t="str">
        <f aca="false">Access_Grants!H53</f>
        <v>Write</v>
      </c>
      <c r="I53" s="9" t="str">
        <f aca="false">Access_Grants!L53</f>
        <v>Active</v>
      </c>
      <c r="J53" s="10" t="n">
        <f aca="false">Access_Grants!I53</f>
        <v>45535</v>
      </c>
      <c r="K53" s="10" t="n">
        <f aca="false">IFERROR(INDEX(HR_Employees!$F$2:$F$51,MATCH(B53,HR_Employees!$A$2:$A$51,0)),"")</f>
        <v>0</v>
      </c>
      <c r="L53" s="10" t="str">
        <f aca="false">IF(Access_Grants!M53="","",Access_Grants!M53)</f>
        <v/>
      </c>
      <c r="M53" s="9" t="str">
        <f aca="false">IF(K53="","N/A - Active Employee",IF(OR(I53="Active",AND(L53&lt;&gt;"",L53&gt;K53+5)),"EXCEPTION: TERMINATED USER - ACCESS NOT REVOKED TIMELY","OK - Revoked Within SLA"))</f>
        <v>N/A - Active Employee</v>
      </c>
      <c r="N53" s="9" t="str">
        <f aca="false">Access_Grants!J53&amp;""</f>
        <v>MGR-06</v>
      </c>
      <c r="O53" s="9" t="str">
        <f aca="false">Access_Grants!K53&amp;""</f>
        <v>CHG-43862</v>
      </c>
      <c r="P53" s="9" t="str">
        <f aca="false">IF(OR(TRIM(N53)="",TRIM(O53)=""),"EXCEPTION: NO DOCUMENTED APPROVAL","OK - Approved")</f>
        <v>OK - Approved</v>
      </c>
      <c r="Q53" s="9" t="str">
        <f aca="false">IFERROR(INDEX(SoD_Conflict_Matrix!$D$2:$D$7,MATCH(F53,SoD_Conflict_Matrix!$B$2:$B$7,0)),IFERROR(INDEX(SoD_Conflict_Matrix!$B$2:$B$7,MATCH(F53,SoD_Conflict_Matrix!$D$2:$D$7,0)),""))</f>
        <v>R07</v>
      </c>
      <c r="R53" s="9" t="str">
        <f aca="false">IFERROR(INDEX(SoD_Conflict_Matrix!$E$2:$E$7,MATCH(F53,SoD_Conflict_Matrix!$B$2:$B$7,0)),IFERROR(INDEX(SoD_Conflict_Matrix!$C$2:$C$7,MATCH(F53,SoD_Conflict_Matrix!$D$2:$D$7,0)),""))</f>
        <v>Payroll Approval / Release</v>
      </c>
      <c r="S53" s="9" t="str">
        <f aca="false">IF(Q53="","No Conflict Rule Applies to This Role",IF(COUNTIFS(Access_Grants!$B$2:$B$175,B53,Access_Grants!$F$2:$F$175,Q53,Access_Grants!$L$2:$L$175,"Active")&gt;0,"EXCEPTION: SoD CONFLICT - ALSO HOLDS "&amp;R53,"OK - No Conflicting Role Held"))</f>
        <v>EXCEPTION: SoD CONFLICT - ALSO HOLDS Payroll Approval / Release</v>
      </c>
      <c r="T53" s="9" t="str">
        <f aca="false">IF(AND(H53="Admin",I53="Active"),IF(COUNTIFS(Recertifications!$B$2:$B$119,B53,Recertifications!$E$2:$E$119,F53,Recertifications!$K$2:$K$119,"&lt;&gt;")&gt;0,"OK - Recertified","EXCEPTION: PRIVILEGED ACCESS NEVER RECERTIFIED"),"N/A - Not Privileged")</f>
        <v>N/A - Not Privileged</v>
      </c>
      <c r="U53" s="9" t="str">
        <f aca="false">IF(OR(LEFT(M53,9)="EXCEPTION",LEFT(P53,9)="EXCEPTION",LEFT(S53,9)="EXCEPTION",LEFT(T53,9)="EXCEPTION"),"EXCEPTION","Clean")</f>
        <v>EXCEPTION</v>
      </c>
      <c r="V53" s="9" t="str">
        <f aca="false">IF(LEFT(M53,9)="EXCEPTION","Deprovisioning Control Gap",IF(LEFT(S53,9)="EXCEPTION","Segregation of Duties Conflict",IF(LEFT(P53,9)="EXCEPTION","Provisioning Approval Gap",IF(LEFT(T53,9)="EXCEPTION","Recertification Gap","N/A"))))</f>
        <v>Segregation of Duties Conflict</v>
      </c>
    </row>
    <row r="54" customFormat="false" ht="15" hidden="false" customHeight="true" outlineLevel="0" collapsed="false">
      <c r="A54" s="9" t="str">
        <f aca="false">Access_Grants!A54</f>
        <v>AG-0053</v>
      </c>
      <c r="B54" s="9" t="str">
        <f aca="false">Access_Grants!B54</f>
        <v>E017</v>
      </c>
      <c r="C54" s="9" t="str">
        <f aca="false">Access_Grants!C54</f>
        <v>Isabel Okafor</v>
      </c>
      <c r="D54" s="9" t="str">
        <f aca="false">Access_Grants!D54</f>
        <v>Finance</v>
      </c>
      <c r="E54" s="9" t="str">
        <f aca="false">Access_Grants!E54</f>
        <v>SYS-HRIS</v>
      </c>
      <c r="F54" s="9" t="str">
        <f aca="false">Access_Grants!F54</f>
        <v>R08</v>
      </c>
      <c r="G54" s="9" t="str">
        <f aca="false">Access_Grants!G54</f>
        <v>Employee Master Read-Only</v>
      </c>
      <c r="H54" s="9" t="str">
        <f aca="false">Access_Grants!H54</f>
        <v>Read</v>
      </c>
      <c r="I54" s="9" t="str">
        <f aca="false">Access_Grants!L54</f>
        <v>Revoked</v>
      </c>
      <c r="J54" s="10" t="n">
        <f aca="false">Access_Grants!I54</f>
        <v>45135</v>
      </c>
      <c r="K54" s="10" t="n">
        <f aca="false">IFERROR(INDEX(HR_Employees!$F$2:$F$51,MATCH(B54,HR_Employees!$A$2:$A$51,0)),"")</f>
        <v>45821</v>
      </c>
      <c r="L54" s="10" t="n">
        <f aca="false">IF(Access_Grants!M54="","",Access_Grants!M54)</f>
        <v>45826</v>
      </c>
      <c r="M54" s="9" t="str">
        <f aca="false">IF(K54="","N/A - Active Employee",IF(OR(I54="Active",AND(L54&lt;&gt;"",L54&gt;K54+5)),"EXCEPTION: TERMINATED USER - ACCESS NOT REVOKED TIMELY","OK - Revoked Within SLA"))</f>
        <v>OK - Revoked Within SLA</v>
      </c>
      <c r="N54" s="9" t="str">
        <f aca="false">Access_Grants!J54&amp;""</f>
        <v>MGR-08</v>
      </c>
      <c r="O54" s="9" t="str">
        <f aca="false">Access_Grants!K54&amp;""</f>
        <v>CHG-82768</v>
      </c>
      <c r="P54" s="9" t="str">
        <f aca="false">IF(OR(TRIM(N54)="",TRIM(O54)=""),"EXCEPTION: NO DOCUMENTED APPROVAL","OK - Approved")</f>
        <v>OK - Approved</v>
      </c>
      <c r="Q54" s="9" t="str">
        <f aca="false">IFERROR(INDEX(SoD_Conflict_Matrix!$D$2:$D$7,MATCH(F54,SoD_Conflict_Matrix!$B$2:$B$7,0)),IFERROR(INDEX(SoD_Conflict_Matrix!$B$2:$B$7,MATCH(F54,SoD_Conflict_Matrix!$D$2:$D$7,0)),""))</f>
        <v/>
      </c>
      <c r="R54" s="9" t="str">
        <f aca="false">IFERROR(INDEX(SoD_Conflict_Matrix!$E$2:$E$7,MATCH(F54,SoD_Conflict_Matrix!$B$2:$B$7,0)),IFERROR(INDEX(SoD_Conflict_Matrix!$C$2:$C$7,MATCH(F54,SoD_Conflict_Matrix!$D$2:$D$7,0)),""))</f>
        <v/>
      </c>
      <c r="S54" s="9" t="str">
        <f aca="false">IF(Q54="","No Conflict Rule Applies to This Role",IF(COUNTIFS(Access_Grants!$B$2:$B$175,B54,Access_Grants!$F$2:$F$175,Q54,Access_Grants!$L$2:$L$175,"Active")&gt;0,"EXCEPTION: SoD CONFLICT - ALSO HOLDS "&amp;R54,"OK - No Conflicting Role Held"))</f>
        <v>No Conflict Rule Applies to This Role</v>
      </c>
      <c r="T54" s="9" t="str">
        <f aca="false">IF(AND(H54="Admin",I54="Active"),IF(COUNTIFS(Recertifications!$B$2:$B$119,B54,Recertifications!$E$2:$E$119,F54,Recertifications!$K$2:$K$119,"&lt;&gt;")&gt;0,"OK - Recertified","EXCEPTION: PRIVILEGED ACCESS NEVER RECERTIFIED"),"N/A - Not Privileged")</f>
        <v>N/A - Not Privileged</v>
      </c>
      <c r="U54" s="9" t="str">
        <f aca="false">IF(OR(LEFT(M54,9)="EXCEPTION",LEFT(P54,9)="EXCEPTION",LEFT(S54,9)="EXCEPTION",LEFT(T54,9)="EXCEPTION"),"EXCEPTION","Clean")</f>
        <v>Clean</v>
      </c>
      <c r="V54" s="9" t="str">
        <f aca="false">IF(LEFT(M54,9)="EXCEPTION","Deprovisioning Control Gap",IF(LEFT(S54,9)="EXCEPTION","Segregation of Duties Conflict",IF(LEFT(P54,9)="EXCEPTION","Provisioning Approval Gap",IF(LEFT(T54,9)="EXCEPTION","Recertification Gap","N/A"))))</f>
        <v>N/A</v>
      </c>
    </row>
    <row r="55" customFormat="false" ht="15" hidden="false" customHeight="true" outlineLevel="0" collapsed="false">
      <c r="A55" s="9" t="str">
        <f aca="false">Access_Grants!A55</f>
        <v>AG-0054</v>
      </c>
      <c r="B55" s="9" t="str">
        <f aca="false">Access_Grants!B55</f>
        <v>E017</v>
      </c>
      <c r="C55" s="9" t="str">
        <f aca="false">Access_Grants!C55</f>
        <v>Isabel Okafor</v>
      </c>
      <c r="D55" s="9" t="str">
        <f aca="false">Access_Grants!D55</f>
        <v>Finance</v>
      </c>
      <c r="E55" s="9" t="str">
        <f aca="false">Access_Grants!E55</f>
        <v>SYS-ERP</v>
      </c>
      <c r="F55" s="9" t="str">
        <f aca="false">Access_Grants!F55</f>
        <v>R03</v>
      </c>
      <c r="G55" s="9" t="str">
        <f aca="false">Access_Grants!G55</f>
        <v>Vendor Master Maintenance</v>
      </c>
      <c r="H55" s="9" t="str">
        <f aca="false">Access_Grants!H55</f>
        <v>Write</v>
      </c>
      <c r="I55" s="9" t="str">
        <f aca="false">Access_Grants!L55</f>
        <v>Active</v>
      </c>
      <c r="J55" s="10" t="n">
        <f aca="false">Access_Grants!I55</f>
        <v>45291</v>
      </c>
      <c r="K55" s="10" t="n">
        <f aca="false">IFERROR(INDEX(HR_Employees!$F$2:$F$51,MATCH(B55,HR_Employees!$A$2:$A$51,0)),"")</f>
        <v>45821</v>
      </c>
      <c r="L55" s="10" t="str">
        <f aca="false">IF(Access_Grants!M55="","",Access_Grants!M55)</f>
        <v/>
      </c>
      <c r="M55" s="9" t="str">
        <f aca="false">IF(K55="","N/A - Active Employee",IF(OR(I55="Active",AND(L55&lt;&gt;"",L55&gt;K55+5)),"EXCEPTION: TERMINATED USER - ACCESS NOT REVOKED TIMELY","OK - Revoked Within SLA"))</f>
        <v>EXCEPTION: TERMINATED USER - ACCESS NOT REVOKED TIMELY</v>
      </c>
      <c r="N55" s="9" t="str">
        <f aca="false">Access_Grants!J55&amp;""</f>
        <v>MGR-08</v>
      </c>
      <c r="O55" s="9" t="str">
        <f aca="false">Access_Grants!K55&amp;""</f>
        <v>CHG-68743</v>
      </c>
      <c r="P55" s="9" t="str">
        <f aca="false">IF(OR(TRIM(N55)="",TRIM(O55)=""),"EXCEPTION: NO DOCUMENTED APPROVAL","OK - Approved")</f>
        <v>OK - Approved</v>
      </c>
      <c r="Q55" s="9" t="str">
        <f aca="false">IFERROR(INDEX(SoD_Conflict_Matrix!$D$2:$D$7,MATCH(F55,SoD_Conflict_Matrix!$B$2:$B$7,0)),IFERROR(INDEX(SoD_Conflict_Matrix!$B$2:$B$7,MATCH(F55,SoD_Conflict_Matrix!$D$2:$D$7,0)),""))</f>
        <v>R02</v>
      </c>
      <c r="R55" s="9" t="str">
        <f aca="false">IFERROR(INDEX(SoD_Conflict_Matrix!$E$2:$E$7,MATCH(F55,SoD_Conflict_Matrix!$B$2:$B$7,0)),IFERROR(INDEX(SoD_Conflict_Matrix!$C$2:$C$7,MATCH(F55,SoD_Conflict_Matrix!$D$2:$D$7,0)),""))</f>
        <v>AP Payment Approval</v>
      </c>
      <c r="S55" s="9" t="str">
        <f aca="false">IF(Q55="","No Conflict Rule Applies to This Role",IF(COUNTIFS(Access_Grants!$B$2:$B$175,B55,Access_Grants!$F$2:$F$175,Q55,Access_Grants!$L$2:$L$175,"Active")&gt;0,"EXCEPTION: SoD CONFLICT - ALSO HOLDS "&amp;R55,"OK - No Conflicting Role Held"))</f>
        <v>OK - No Conflicting Role Held</v>
      </c>
      <c r="T55" s="9" t="str">
        <f aca="false">IF(AND(H55="Admin",I55="Active"),IF(COUNTIFS(Recertifications!$B$2:$B$119,B55,Recertifications!$E$2:$E$119,F55,Recertifications!$K$2:$K$119,"&lt;&gt;")&gt;0,"OK - Recertified","EXCEPTION: PRIVILEGED ACCESS NEVER RECERTIFIED"),"N/A - Not Privileged")</f>
        <v>N/A - Not Privileged</v>
      </c>
      <c r="U55" s="9" t="str">
        <f aca="false">IF(OR(LEFT(M55,9)="EXCEPTION",LEFT(P55,9)="EXCEPTION",LEFT(S55,9)="EXCEPTION",LEFT(T55,9)="EXCEPTION"),"EXCEPTION","Clean")</f>
        <v>EXCEPTION</v>
      </c>
      <c r="V55" s="9" t="str">
        <f aca="false">IF(LEFT(M55,9)="EXCEPTION","Deprovisioning Control Gap",IF(LEFT(S55,9)="EXCEPTION","Segregation of Duties Conflict",IF(LEFT(P55,9)="EXCEPTION","Provisioning Approval Gap",IF(LEFT(T55,9)="EXCEPTION","Recertification Gap","N/A"))))</f>
        <v>Deprovisioning Control Gap</v>
      </c>
    </row>
    <row r="56" customFormat="false" ht="15" hidden="false" customHeight="true" outlineLevel="0" collapsed="false">
      <c r="A56" s="9" t="str">
        <f aca="false">Access_Grants!A56</f>
        <v>AG-0055</v>
      </c>
      <c r="B56" s="9" t="str">
        <f aca="false">Access_Grants!B56</f>
        <v>E017</v>
      </c>
      <c r="C56" s="9" t="str">
        <f aca="false">Access_Grants!C56</f>
        <v>Isabel Okafor</v>
      </c>
      <c r="D56" s="9" t="str">
        <f aca="false">Access_Grants!D56</f>
        <v>Finance</v>
      </c>
      <c r="E56" s="9" t="str">
        <f aca="false">Access_Grants!E56</f>
        <v>SYS-ERP</v>
      </c>
      <c r="F56" s="9" t="str">
        <f aca="false">Access_Grants!F56</f>
        <v>R01</v>
      </c>
      <c r="G56" s="9" t="str">
        <f aca="false">Access_Grants!G56</f>
        <v>AP Invoice Entry</v>
      </c>
      <c r="H56" s="9" t="str">
        <f aca="false">Access_Grants!H56</f>
        <v>Write</v>
      </c>
      <c r="I56" s="9" t="str">
        <f aca="false">Access_Grants!L56</f>
        <v>Revoked</v>
      </c>
      <c r="J56" s="10" t="n">
        <f aca="false">Access_Grants!I56</f>
        <v>45040</v>
      </c>
      <c r="K56" s="10" t="n">
        <f aca="false">IFERROR(INDEX(HR_Employees!$F$2:$F$51,MATCH(B56,HR_Employees!$A$2:$A$51,0)),"")</f>
        <v>45821</v>
      </c>
      <c r="L56" s="10" t="n">
        <f aca="false">IF(Access_Grants!M56="","",Access_Grants!M56)</f>
        <v>45824</v>
      </c>
      <c r="M56" s="9" t="str">
        <f aca="false">IF(K56="","N/A - Active Employee",IF(OR(I56="Active",AND(L56&lt;&gt;"",L56&gt;K56+5)),"EXCEPTION: TERMINATED USER - ACCESS NOT REVOKED TIMELY","OK - Revoked Within SLA"))</f>
        <v>OK - Revoked Within SLA</v>
      </c>
      <c r="N56" s="9" t="str">
        <f aca="false">Access_Grants!J56&amp;""</f>
        <v>MGR-07</v>
      </c>
      <c r="O56" s="9" t="str">
        <f aca="false">Access_Grants!K56&amp;""</f>
        <v>CHG-41890</v>
      </c>
      <c r="P56" s="9" t="str">
        <f aca="false">IF(OR(TRIM(N56)="",TRIM(O56)=""),"EXCEPTION: NO DOCUMENTED APPROVAL","OK - Approved")</f>
        <v>OK - Approved</v>
      </c>
      <c r="Q56" s="9" t="str">
        <f aca="false">IFERROR(INDEX(SoD_Conflict_Matrix!$D$2:$D$7,MATCH(F56,SoD_Conflict_Matrix!$B$2:$B$7,0)),IFERROR(INDEX(SoD_Conflict_Matrix!$B$2:$B$7,MATCH(F56,SoD_Conflict_Matrix!$D$2:$D$7,0)),""))</f>
        <v>R02</v>
      </c>
      <c r="R56" s="9" t="str">
        <f aca="false">IFERROR(INDEX(SoD_Conflict_Matrix!$E$2:$E$7,MATCH(F56,SoD_Conflict_Matrix!$B$2:$B$7,0)),IFERROR(INDEX(SoD_Conflict_Matrix!$C$2:$C$7,MATCH(F56,SoD_Conflict_Matrix!$D$2:$D$7,0)),""))</f>
        <v>AP Payment Approval</v>
      </c>
      <c r="S56" s="9" t="str">
        <f aca="false">IF(Q56="","No Conflict Rule Applies to This Role",IF(COUNTIFS(Access_Grants!$B$2:$B$175,B56,Access_Grants!$F$2:$F$175,Q56,Access_Grants!$L$2:$L$175,"Active")&gt;0,"EXCEPTION: SoD CONFLICT - ALSO HOLDS "&amp;R56,"OK - No Conflicting Role Held"))</f>
        <v>OK - No Conflicting Role Held</v>
      </c>
      <c r="T56" s="9" t="str">
        <f aca="false">IF(AND(H56="Admin",I56="Active"),IF(COUNTIFS(Recertifications!$B$2:$B$119,B56,Recertifications!$E$2:$E$119,F56,Recertifications!$K$2:$K$119,"&lt;&gt;")&gt;0,"OK - Recertified","EXCEPTION: PRIVILEGED ACCESS NEVER RECERTIFIED"),"N/A - Not Privileged")</f>
        <v>N/A - Not Privileged</v>
      </c>
      <c r="U56" s="9" t="str">
        <f aca="false">IF(OR(LEFT(M56,9)="EXCEPTION",LEFT(P56,9)="EXCEPTION",LEFT(S56,9)="EXCEPTION",LEFT(T56,9)="EXCEPTION"),"EXCEPTION","Clean")</f>
        <v>Clean</v>
      </c>
      <c r="V56" s="9" t="str">
        <f aca="false">IF(LEFT(M56,9)="EXCEPTION","Deprovisioning Control Gap",IF(LEFT(S56,9)="EXCEPTION","Segregation of Duties Conflict",IF(LEFT(P56,9)="EXCEPTION","Provisioning Approval Gap",IF(LEFT(T56,9)="EXCEPTION","Recertification Gap","N/A"))))</f>
        <v>N/A</v>
      </c>
    </row>
    <row r="57" customFormat="false" ht="15" hidden="false" customHeight="true" outlineLevel="0" collapsed="false">
      <c r="A57" s="9" t="str">
        <f aca="false">Access_Grants!A57</f>
        <v>AG-0056</v>
      </c>
      <c r="B57" s="9" t="str">
        <f aca="false">Access_Grants!B57</f>
        <v>E017</v>
      </c>
      <c r="C57" s="9" t="str">
        <f aca="false">Access_Grants!C57</f>
        <v>Isabel Okafor</v>
      </c>
      <c r="D57" s="9" t="str">
        <f aca="false">Access_Grants!D57</f>
        <v>Finance</v>
      </c>
      <c r="E57" s="9" t="str">
        <f aca="false">Access_Grants!E57</f>
        <v>SYS-ERP</v>
      </c>
      <c r="F57" s="9" t="str">
        <f aca="false">Access_Grants!F57</f>
        <v>R05</v>
      </c>
      <c r="G57" s="9" t="str">
        <f aca="false">Access_Grants!G57</f>
        <v>GL Journal Approval</v>
      </c>
      <c r="H57" s="9" t="str">
        <f aca="false">Access_Grants!H57</f>
        <v>Admin</v>
      </c>
      <c r="I57" s="9" t="str">
        <f aca="false">Access_Grants!L57</f>
        <v>Revoked</v>
      </c>
      <c r="J57" s="10" t="n">
        <f aca="false">Access_Grants!I57</f>
        <v>45210</v>
      </c>
      <c r="K57" s="10" t="n">
        <f aca="false">IFERROR(INDEX(HR_Employees!$F$2:$F$51,MATCH(B57,HR_Employees!$A$2:$A$51,0)),"")</f>
        <v>45821</v>
      </c>
      <c r="L57" s="10" t="n">
        <f aca="false">IF(Access_Grants!M57="","",Access_Grants!M57)</f>
        <v>45824</v>
      </c>
      <c r="M57" s="9" t="str">
        <f aca="false">IF(K57="","N/A - Active Employee",IF(OR(I57="Active",AND(L57&lt;&gt;"",L57&gt;K57+5)),"EXCEPTION: TERMINATED USER - ACCESS NOT REVOKED TIMELY","OK - Revoked Within SLA"))</f>
        <v>OK - Revoked Within SLA</v>
      </c>
      <c r="N57" s="9" t="str">
        <f aca="false">Access_Grants!J57&amp;""</f>
        <v>MGR-09</v>
      </c>
      <c r="O57" s="9" t="str">
        <f aca="false">Access_Grants!K57&amp;""</f>
        <v>CHG-55056</v>
      </c>
      <c r="P57" s="9" t="str">
        <f aca="false">IF(OR(TRIM(N57)="",TRIM(O57)=""),"EXCEPTION: NO DOCUMENTED APPROVAL","OK - Approved")</f>
        <v>OK - Approved</v>
      </c>
      <c r="Q57" s="9" t="str">
        <f aca="false">IFERROR(INDEX(SoD_Conflict_Matrix!$D$2:$D$7,MATCH(F57,SoD_Conflict_Matrix!$B$2:$B$7,0)),IFERROR(INDEX(SoD_Conflict_Matrix!$B$2:$B$7,MATCH(F57,SoD_Conflict_Matrix!$D$2:$D$7,0)),""))</f>
        <v>R04</v>
      </c>
      <c r="R57" s="9" t="str">
        <f aca="false">IFERROR(INDEX(SoD_Conflict_Matrix!$E$2:$E$7,MATCH(F57,SoD_Conflict_Matrix!$B$2:$B$7,0)),IFERROR(INDEX(SoD_Conflict_Matrix!$C$2:$C$7,MATCH(F57,SoD_Conflict_Matrix!$D$2:$D$7,0)),""))</f>
        <v>GL Journal Posting</v>
      </c>
      <c r="S57" s="9" t="str">
        <f aca="false">IF(Q57="","No Conflict Rule Applies to This Role",IF(COUNTIFS(Access_Grants!$B$2:$B$175,B57,Access_Grants!$F$2:$F$175,Q57,Access_Grants!$L$2:$L$175,"Active")&gt;0,"EXCEPTION: SoD CONFLICT - ALSO HOLDS "&amp;R57,"OK - No Conflicting Role Held"))</f>
        <v>OK - No Conflicting Role Held</v>
      </c>
      <c r="T57" s="9" t="str">
        <f aca="false">IF(AND(H57="Admin",I57="Active"),IF(COUNTIFS(Recertifications!$B$2:$B$119,B57,Recertifications!$E$2:$E$119,F57,Recertifications!$K$2:$K$119,"&lt;&gt;")&gt;0,"OK - Recertified","EXCEPTION: PRIVILEGED ACCESS NEVER RECERTIFIED"),"N/A - Not Privileged")</f>
        <v>N/A - Not Privileged</v>
      </c>
      <c r="U57" s="9" t="str">
        <f aca="false">IF(OR(LEFT(M57,9)="EXCEPTION",LEFT(P57,9)="EXCEPTION",LEFT(S57,9)="EXCEPTION",LEFT(T57,9)="EXCEPTION"),"EXCEPTION","Clean")</f>
        <v>Clean</v>
      </c>
      <c r="V57" s="9" t="str">
        <f aca="false">IF(LEFT(M57,9)="EXCEPTION","Deprovisioning Control Gap",IF(LEFT(S57,9)="EXCEPTION","Segregation of Duties Conflict",IF(LEFT(P57,9)="EXCEPTION","Provisioning Approval Gap",IF(LEFT(T57,9)="EXCEPTION","Recertification Gap","N/A"))))</f>
        <v>N/A</v>
      </c>
    </row>
    <row r="58" customFormat="false" ht="15" hidden="false" customHeight="true" outlineLevel="0" collapsed="false">
      <c r="A58" s="9" t="str">
        <f aca="false">Access_Grants!A58</f>
        <v>AG-0057</v>
      </c>
      <c r="B58" s="9" t="str">
        <f aca="false">Access_Grants!B58</f>
        <v>E017</v>
      </c>
      <c r="C58" s="9" t="str">
        <f aca="false">Access_Grants!C58</f>
        <v>Isabel Okafor</v>
      </c>
      <c r="D58" s="9" t="str">
        <f aca="false">Access_Grants!D58</f>
        <v>Finance</v>
      </c>
      <c r="E58" s="9" t="str">
        <f aca="false">Access_Grants!E58</f>
        <v>SYS-BANK</v>
      </c>
      <c r="F58" s="9" t="str">
        <f aca="false">Access_Grants!F58</f>
        <v>R13</v>
      </c>
      <c r="G58" s="9" t="str">
        <f aca="false">Access_Grants!G58</f>
        <v>Wire Initiation</v>
      </c>
      <c r="H58" s="9" t="str">
        <f aca="false">Access_Grants!H58</f>
        <v>Write</v>
      </c>
      <c r="I58" s="9" t="str">
        <f aca="false">Access_Grants!L58</f>
        <v>Active</v>
      </c>
      <c r="J58" s="10" t="n">
        <f aca="false">Access_Grants!I58</f>
        <v>45107</v>
      </c>
      <c r="K58" s="10" t="n">
        <f aca="false">IFERROR(INDEX(HR_Employees!$F$2:$F$51,MATCH(B58,HR_Employees!$A$2:$A$51,0)),"")</f>
        <v>45821</v>
      </c>
      <c r="L58" s="10" t="str">
        <f aca="false">IF(Access_Grants!M58="","",Access_Grants!M58)</f>
        <v/>
      </c>
      <c r="M58" s="9" t="str">
        <f aca="false">IF(K58="","N/A - Active Employee",IF(OR(I58="Active",AND(L58&lt;&gt;"",L58&gt;K58+5)),"EXCEPTION: TERMINATED USER - ACCESS NOT REVOKED TIMELY","OK - Revoked Within SLA"))</f>
        <v>EXCEPTION: TERMINATED USER - ACCESS NOT REVOKED TIMELY</v>
      </c>
      <c r="N58" s="9" t="str">
        <f aca="false">Access_Grants!J58&amp;""</f>
        <v>MGR-08</v>
      </c>
      <c r="O58" s="9" t="str">
        <f aca="false">Access_Grants!K58&amp;""</f>
        <v>CHG-45509</v>
      </c>
      <c r="P58" s="9" t="str">
        <f aca="false">IF(OR(TRIM(N58)="",TRIM(O58)=""),"EXCEPTION: NO DOCUMENTED APPROVAL","OK - Approved")</f>
        <v>OK - Approved</v>
      </c>
      <c r="Q58" s="9" t="str">
        <f aca="false">IFERROR(INDEX(SoD_Conflict_Matrix!$D$2:$D$7,MATCH(F58,SoD_Conflict_Matrix!$B$2:$B$7,0)),IFERROR(INDEX(SoD_Conflict_Matrix!$B$2:$B$7,MATCH(F58,SoD_Conflict_Matrix!$D$2:$D$7,0)),""))</f>
        <v>R14</v>
      </c>
      <c r="R58" s="9" t="str">
        <f aca="false">IFERROR(INDEX(SoD_Conflict_Matrix!$E$2:$E$7,MATCH(F58,SoD_Conflict_Matrix!$B$2:$B$7,0)),IFERROR(INDEX(SoD_Conflict_Matrix!$C$2:$C$7,MATCH(F58,SoD_Conflict_Matrix!$D$2:$D$7,0)),""))</f>
        <v>Wire Approval / Release</v>
      </c>
      <c r="S58" s="9" t="str">
        <f aca="false">IF(Q58="","No Conflict Rule Applies to This Role",IF(COUNTIFS(Access_Grants!$B$2:$B$175,B58,Access_Grants!$F$2:$F$175,Q58,Access_Grants!$L$2:$L$175,"Active")&gt;0,"EXCEPTION: SoD CONFLICT - ALSO HOLDS "&amp;R58,"OK - No Conflicting Role Held"))</f>
        <v>OK - No Conflicting Role Held</v>
      </c>
      <c r="T58" s="9" t="str">
        <f aca="false">IF(AND(H58="Admin",I58="Active"),IF(COUNTIFS(Recertifications!$B$2:$B$119,B58,Recertifications!$E$2:$E$119,F58,Recertifications!$K$2:$K$119,"&lt;&gt;")&gt;0,"OK - Recertified","EXCEPTION: PRIVILEGED ACCESS NEVER RECERTIFIED"),"N/A - Not Privileged")</f>
        <v>N/A - Not Privileged</v>
      </c>
      <c r="U58" s="9" t="str">
        <f aca="false">IF(OR(LEFT(M58,9)="EXCEPTION",LEFT(P58,9)="EXCEPTION",LEFT(S58,9)="EXCEPTION",LEFT(T58,9)="EXCEPTION"),"EXCEPTION","Clean")</f>
        <v>EXCEPTION</v>
      </c>
      <c r="V58" s="9" t="str">
        <f aca="false">IF(LEFT(M58,9)="EXCEPTION","Deprovisioning Control Gap",IF(LEFT(S58,9)="EXCEPTION","Segregation of Duties Conflict",IF(LEFT(P58,9)="EXCEPTION","Provisioning Approval Gap",IF(LEFT(T58,9)="EXCEPTION","Recertification Gap","N/A"))))</f>
        <v>Deprovisioning Control Gap</v>
      </c>
    </row>
    <row r="59" customFormat="false" ht="15" hidden="false" customHeight="true" outlineLevel="0" collapsed="false">
      <c r="A59" s="9" t="str">
        <f aca="false">Access_Grants!A59</f>
        <v>AG-0058</v>
      </c>
      <c r="B59" s="9" t="str">
        <f aca="false">Access_Grants!B59</f>
        <v>E017</v>
      </c>
      <c r="C59" s="9" t="str">
        <f aca="false">Access_Grants!C59</f>
        <v>Isabel Okafor</v>
      </c>
      <c r="D59" s="9" t="str">
        <f aca="false">Access_Grants!D59</f>
        <v>Finance</v>
      </c>
      <c r="E59" s="9" t="str">
        <f aca="false">Access_Grants!E59</f>
        <v>SYS-BANK</v>
      </c>
      <c r="F59" s="9" t="str">
        <f aca="false">Access_Grants!F59</f>
        <v>R14</v>
      </c>
      <c r="G59" s="9" t="str">
        <f aca="false">Access_Grants!G59</f>
        <v>Wire Approval / Release</v>
      </c>
      <c r="H59" s="9" t="str">
        <f aca="false">Access_Grants!H59</f>
        <v>Admin</v>
      </c>
      <c r="I59" s="9" t="str">
        <f aca="false">Access_Grants!L59</f>
        <v>Revoked</v>
      </c>
      <c r="J59" s="10" t="n">
        <f aca="false">Access_Grants!I59</f>
        <v>45296</v>
      </c>
      <c r="K59" s="10" t="n">
        <f aca="false">IFERROR(INDEX(HR_Employees!$F$2:$F$51,MATCH(B59,HR_Employees!$A$2:$A$51,0)),"")</f>
        <v>45821</v>
      </c>
      <c r="L59" s="10" t="n">
        <f aca="false">IF(Access_Grants!M59="","",Access_Grants!M59)</f>
        <v>45823</v>
      </c>
      <c r="M59" s="9" t="str">
        <f aca="false">IF(K59="","N/A - Active Employee",IF(OR(I59="Active",AND(L59&lt;&gt;"",L59&gt;K59+5)),"EXCEPTION: TERMINATED USER - ACCESS NOT REVOKED TIMELY","OK - Revoked Within SLA"))</f>
        <v>OK - Revoked Within SLA</v>
      </c>
      <c r="N59" s="9" t="str">
        <f aca="false">Access_Grants!J59&amp;""</f>
        <v>MGR-04</v>
      </c>
      <c r="O59" s="9" t="str">
        <f aca="false">Access_Grants!K59&amp;""</f>
        <v/>
      </c>
      <c r="P59" s="9" t="str">
        <f aca="false">IF(OR(TRIM(N59)="",TRIM(O59)=""),"EXCEPTION: NO DOCUMENTED APPROVAL","OK - Approved")</f>
        <v>EXCEPTION: NO DOCUMENTED APPROVAL</v>
      </c>
      <c r="Q59" s="9" t="str">
        <f aca="false">IFERROR(INDEX(SoD_Conflict_Matrix!$D$2:$D$7,MATCH(F59,SoD_Conflict_Matrix!$B$2:$B$7,0)),IFERROR(INDEX(SoD_Conflict_Matrix!$B$2:$B$7,MATCH(F59,SoD_Conflict_Matrix!$D$2:$D$7,0)),""))</f>
        <v>R13</v>
      </c>
      <c r="R59" s="9" t="str">
        <f aca="false">IFERROR(INDEX(SoD_Conflict_Matrix!$E$2:$E$7,MATCH(F59,SoD_Conflict_Matrix!$B$2:$B$7,0)),IFERROR(INDEX(SoD_Conflict_Matrix!$C$2:$C$7,MATCH(F59,SoD_Conflict_Matrix!$D$2:$D$7,0)),""))</f>
        <v>Wire Initiation</v>
      </c>
      <c r="S59" s="9" t="str">
        <f aca="false">IF(Q59="","No Conflict Rule Applies to This Role",IF(COUNTIFS(Access_Grants!$B$2:$B$175,B59,Access_Grants!$F$2:$F$175,Q59,Access_Grants!$L$2:$L$175,"Active")&gt;0,"EXCEPTION: SoD CONFLICT - ALSO HOLDS "&amp;R59,"OK - No Conflicting Role Held"))</f>
        <v>EXCEPTION: SoD CONFLICT - ALSO HOLDS Wire Initiation</v>
      </c>
      <c r="T59" s="9" t="str">
        <f aca="false">IF(AND(H59="Admin",I59="Active"),IF(COUNTIFS(Recertifications!$B$2:$B$119,B59,Recertifications!$E$2:$E$119,F59,Recertifications!$K$2:$K$119,"&lt;&gt;")&gt;0,"OK - Recertified","EXCEPTION: PRIVILEGED ACCESS NEVER RECERTIFIED"),"N/A - Not Privileged")</f>
        <v>N/A - Not Privileged</v>
      </c>
      <c r="U59" s="9" t="str">
        <f aca="false">IF(OR(LEFT(M59,9)="EXCEPTION",LEFT(P59,9)="EXCEPTION",LEFT(S59,9)="EXCEPTION",LEFT(T59,9)="EXCEPTION"),"EXCEPTION","Clean")</f>
        <v>EXCEPTION</v>
      </c>
      <c r="V59" s="9" t="str">
        <f aca="false">IF(LEFT(M59,9)="EXCEPTION","Deprovisioning Control Gap",IF(LEFT(S59,9)="EXCEPTION","Segregation of Duties Conflict",IF(LEFT(P59,9)="EXCEPTION","Provisioning Approval Gap",IF(LEFT(T59,9)="EXCEPTION","Recertification Gap","N/A"))))</f>
        <v>Segregation of Duties Conflict</v>
      </c>
    </row>
    <row r="60" customFormat="false" ht="15" hidden="false" customHeight="true" outlineLevel="0" collapsed="false">
      <c r="A60" s="9" t="str">
        <f aca="false">Access_Grants!A60</f>
        <v>AG-0059</v>
      </c>
      <c r="B60" s="9" t="str">
        <f aca="false">Access_Grants!B60</f>
        <v>E018</v>
      </c>
      <c r="C60" s="9" t="str">
        <f aca="false">Access_Grants!C60</f>
        <v>Carlos Santos</v>
      </c>
      <c r="D60" s="9" t="str">
        <f aca="false">Access_Grants!D60</f>
        <v>HR</v>
      </c>
      <c r="E60" s="9" t="str">
        <f aca="false">Access_Grants!E60</f>
        <v>SYS-AD</v>
      </c>
      <c r="F60" s="9" t="str">
        <f aca="false">Access_Grants!F60</f>
        <v>R09</v>
      </c>
      <c r="G60" s="9" t="str">
        <f aca="false">Access_Grants!G60</f>
        <v>Standard Network User</v>
      </c>
      <c r="H60" s="9" t="str">
        <f aca="false">Access_Grants!H60</f>
        <v>Read</v>
      </c>
      <c r="I60" s="9" t="str">
        <f aca="false">Access_Grants!L60</f>
        <v>Active</v>
      </c>
      <c r="J60" s="10" t="n">
        <f aca="false">Access_Grants!I60</f>
        <v>46124</v>
      </c>
      <c r="K60" s="10" t="n">
        <f aca="false">IFERROR(INDEX(HR_Employees!$F$2:$F$51,MATCH(B60,HR_Employees!$A$2:$A$51,0)),"")</f>
        <v>0</v>
      </c>
      <c r="L60" s="10" t="str">
        <f aca="false">IF(Access_Grants!M60="","",Access_Grants!M60)</f>
        <v/>
      </c>
      <c r="M60" s="9" t="str">
        <f aca="false">IF(K60="","N/A - Active Employee",IF(OR(I60="Active",AND(L60&lt;&gt;"",L60&gt;K60+5)),"EXCEPTION: TERMINATED USER - ACCESS NOT REVOKED TIMELY","OK - Revoked Within SLA"))</f>
        <v>N/A - Active Employee</v>
      </c>
      <c r="N60" s="9" t="str">
        <f aca="false">Access_Grants!J60&amp;""</f>
        <v>MGR-10</v>
      </c>
      <c r="O60" s="9" t="str">
        <f aca="false">Access_Grants!K60&amp;""</f>
        <v>CHG-78765</v>
      </c>
      <c r="P60" s="9" t="str">
        <f aca="false">IF(OR(TRIM(N60)="",TRIM(O60)=""),"EXCEPTION: NO DOCUMENTED APPROVAL","OK - Approved")</f>
        <v>OK - Approved</v>
      </c>
      <c r="Q60" s="9" t="str">
        <f aca="false">IFERROR(INDEX(SoD_Conflict_Matrix!$D$2:$D$7,MATCH(F60,SoD_Conflict_Matrix!$B$2:$B$7,0)),IFERROR(INDEX(SoD_Conflict_Matrix!$B$2:$B$7,MATCH(F60,SoD_Conflict_Matrix!$D$2:$D$7,0)),""))</f>
        <v/>
      </c>
      <c r="R60" s="9" t="str">
        <f aca="false">IFERROR(INDEX(SoD_Conflict_Matrix!$E$2:$E$7,MATCH(F60,SoD_Conflict_Matrix!$B$2:$B$7,0)),IFERROR(INDEX(SoD_Conflict_Matrix!$C$2:$C$7,MATCH(F60,SoD_Conflict_Matrix!$D$2:$D$7,0)),""))</f>
        <v/>
      </c>
      <c r="S60" s="9" t="str">
        <f aca="false">IF(Q60="","No Conflict Rule Applies to This Role",IF(COUNTIFS(Access_Grants!$B$2:$B$175,B60,Access_Grants!$F$2:$F$175,Q60,Access_Grants!$L$2:$L$175,"Active")&gt;0,"EXCEPTION: SoD CONFLICT - ALSO HOLDS "&amp;R60,"OK - No Conflicting Role Held"))</f>
        <v>No Conflict Rule Applies to This Role</v>
      </c>
      <c r="T60" s="9" t="str">
        <f aca="false">IF(AND(H60="Admin",I60="Active"),IF(COUNTIFS(Recertifications!$B$2:$B$119,B60,Recertifications!$E$2:$E$119,F60,Recertifications!$K$2:$K$119,"&lt;&gt;")&gt;0,"OK - Recertified","EXCEPTION: PRIVILEGED ACCESS NEVER RECERTIFIED"),"N/A - Not Privileged")</f>
        <v>N/A - Not Privileged</v>
      </c>
      <c r="U60" s="9" t="str">
        <f aca="false">IF(OR(LEFT(M60,9)="EXCEPTION",LEFT(P60,9)="EXCEPTION",LEFT(S60,9)="EXCEPTION",LEFT(T60,9)="EXCEPTION"),"EXCEPTION","Clean")</f>
        <v>Clean</v>
      </c>
      <c r="V60" s="9" t="str">
        <f aca="false">IF(LEFT(M60,9)="EXCEPTION","Deprovisioning Control Gap",IF(LEFT(S60,9)="EXCEPTION","Segregation of Duties Conflict",IF(LEFT(P60,9)="EXCEPTION","Provisioning Approval Gap",IF(LEFT(T60,9)="EXCEPTION","Recertification Gap","N/A"))))</f>
        <v>N/A</v>
      </c>
    </row>
    <row r="61" customFormat="false" ht="15" hidden="false" customHeight="true" outlineLevel="0" collapsed="false">
      <c r="A61" s="9" t="str">
        <f aca="false">Access_Grants!A61</f>
        <v>AG-0060</v>
      </c>
      <c r="B61" s="9" t="str">
        <f aca="false">Access_Grants!B61</f>
        <v>E018</v>
      </c>
      <c r="C61" s="9" t="str">
        <f aca="false">Access_Grants!C61</f>
        <v>Carlos Santos</v>
      </c>
      <c r="D61" s="9" t="str">
        <f aca="false">Access_Grants!D61</f>
        <v>HR</v>
      </c>
      <c r="E61" s="9" t="str">
        <f aca="false">Access_Grants!E61</f>
        <v>SYS-HRIS</v>
      </c>
      <c r="F61" s="9" t="str">
        <f aca="false">Access_Grants!F61</f>
        <v>R07</v>
      </c>
      <c r="G61" s="9" t="str">
        <f aca="false">Access_Grants!G61</f>
        <v>Payroll Approval / Release</v>
      </c>
      <c r="H61" s="9" t="str">
        <f aca="false">Access_Grants!H61</f>
        <v>Admin</v>
      </c>
      <c r="I61" s="9" t="str">
        <f aca="false">Access_Grants!L61</f>
        <v>Active</v>
      </c>
      <c r="J61" s="10" t="n">
        <f aca="false">Access_Grants!I61</f>
        <v>46235</v>
      </c>
      <c r="K61" s="10" t="n">
        <f aca="false">IFERROR(INDEX(HR_Employees!$F$2:$F$51,MATCH(B61,HR_Employees!$A$2:$A$51,0)),"")</f>
        <v>0</v>
      </c>
      <c r="L61" s="10" t="str">
        <f aca="false">IF(Access_Grants!M61="","",Access_Grants!M61)</f>
        <v/>
      </c>
      <c r="M61" s="9" t="str">
        <f aca="false">IF(K61="","N/A - Active Employee",IF(OR(I61="Active",AND(L61&lt;&gt;"",L61&gt;K61+5)),"EXCEPTION: TERMINATED USER - ACCESS NOT REVOKED TIMELY","OK - Revoked Within SLA"))</f>
        <v>N/A - Active Employee</v>
      </c>
      <c r="N61" s="9" t="str">
        <f aca="false">Access_Grants!J61&amp;""</f>
        <v>MGR-04</v>
      </c>
      <c r="O61" s="9" t="str">
        <f aca="false">Access_Grants!K61&amp;""</f>
        <v>CHG-48829</v>
      </c>
      <c r="P61" s="9" t="str">
        <f aca="false">IF(OR(TRIM(N61)="",TRIM(O61)=""),"EXCEPTION: NO DOCUMENTED APPROVAL","OK - Approved")</f>
        <v>OK - Approved</v>
      </c>
      <c r="Q61" s="9" t="str">
        <f aca="false">IFERROR(INDEX(SoD_Conflict_Matrix!$D$2:$D$7,MATCH(F61,SoD_Conflict_Matrix!$B$2:$B$7,0)),IFERROR(INDEX(SoD_Conflict_Matrix!$B$2:$B$7,MATCH(F61,SoD_Conflict_Matrix!$D$2:$D$7,0)),""))</f>
        <v>R06</v>
      </c>
      <c r="R61" s="9" t="str">
        <f aca="false">IFERROR(INDEX(SoD_Conflict_Matrix!$E$2:$E$7,MATCH(F61,SoD_Conflict_Matrix!$B$2:$B$7,0)),IFERROR(INDEX(SoD_Conflict_Matrix!$C$2:$C$7,MATCH(F61,SoD_Conflict_Matrix!$D$2:$D$7,0)),""))</f>
        <v>Payroll Data Entry</v>
      </c>
      <c r="S61" s="9" t="str">
        <f aca="false">IF(Q61="","No Conflict Rule Applies to This Role",IF(COUNTIFS(Access_Grants!$B$2:$B$175,B61,Access_Grants!$F$2:$F$175,Q61,Access_Grants!$L$2:$L$175,"Active")&gt;0,"EXCEPTION: SoD CONFLICT - ALSO HOLDS "&amp;R61,"OK - No Conflicting Role Held"))</f>
        <v>OK - No Conflicting Role Held</v>
      </c>
      <c r="T61" s="9" t="str">
        <f aca="false">IF(AND(H61="Admin",I61="Active"),IF(COUNTIFS(Recertifications!$B$2:$B$119,B61,Recertifications!$E$2:$E$119,F61,Recertifications!$K$2:$K$119,"&lt;&gt;")&gt;0,"OK - Recertified","EXCEPTION: PRIVILEGED ACCESS NEVER RECERTIFIED"),"N/A - Not Privileged")</f>
        <v>OK - Recertified</v>
      </c>
      <c r="U61" s="9" t="str">
        <f aca="false">IF(OR(LEFT(M61,9)="EXCEPTION",LEFT(P61,9)="EXCEPTION",LEFT(S61,9)="EXCEPTION",LEFT(T61,9)="EXCEPTION"),"EXCEPTION","Clean")</f>
        <v>Clean</v>
      </c>
      <c r="V61" s="9" t="str">
        <f aca="false">IF(LEFT(M61,9)="EXCEPTION","Deprovisioning Control Gap",IF(LEFT(S61,9)="EXCEPTION","Segregation of Duties Conflict",IF(LEFT(P61,9)="EXCEPTION","Provisioning Approval Gap",IF(LEFT(T61,9)="EXCEPTION","Recertification Gap","N/A"))))</f>
        <v>N/A</v>
      </c>
    </row>
    <row r="62" customFormat="false" ht="15" hidden="false" customHeight="true" outlineLevel="0" collapsed="false">
      <c r="A62" s="9" t="str">
        <f aca="false">Access_Grants!A62</f>
        <v>AG-0061</v>
      </c>
      <c r="B62" s="9" t="str">
        <f aca="false">Access_Grants!B62</f>
        <v>E019</v>
      </c>
      <c r="C62" s="9" t="str">
        <f aca="false">Access_Grants!C62</f>
        <v>Sophia Abara</v>
      </c>
      <c r="D62" s="9" t="str">
        <f aca="false">Access_Grants!D62</f>
        <v>Procurement</v>
      </c>
      <c r="E62" s="9" t="str">
        <f aca="false">Access_Grants!E62</f>
        <v>SYS-AD</v>
      </c>
      <c r="F62" s="9" t="str">
        <f aca="false">Access_Grants!F62</f>
        <v>R09</v>
      </c>
      <c r="G62" s="9" t="str">
        <f aca="false">Access_Grants!G62</f>
        <v>Standard Network User</v>
      </c>
      <c r="H62" s="9" t="str">
        <f aca="false">Access_Grants!H62</f>
        <v>Read</v>
      </c>
      <c r="I62" s="9" t="str">
        <f aca="false">Access_Grants!L62</f>
        <v>Active</v>
      </c>
      <c r="J62" s="10" t="n">
        <f aca="false">Access_Grants!I62</f>
        <v>45525</v>
      </c>
      <c r="K62" s="10" t="n">
        <f aca="false">IFERROR(INDEX(HR_Employees!$F$2:$F$51,MATCH(B62,HR_Employees!$A$2:$A$51,0)),"")</f>
        <v>0</v>
      </c>
      <c r="L62" s="10" t="str">
        <f aca="false">IF(Access_Grants!M62="","",Access_Grants!M62)</f>
        <v/>
      </c>
      <c r="M62" s="9" t="str">
        <f aca="false">IF(K62="","N/A - Active Employee",IF(OR(I62="Active",AND(L62&lt;&gt;"",L62&gt;K62+5)),"EXCEPTION: TERMINATED USER - ACCESS NOT REVOKED TIMELY","OK - Revoked Within SLA"))</f>
        <v>N/A - Active Employee</v>
      </c>
      <c r="N62" s="9" t="str">
        <f aca="false">Access_Grants!J62&amp;""</f>
        <v>MGR-03</v>
      </c>
      <c r="O62" s="9" t="str">
        <f aca="false">Access_Grants!K62&amp;""</f>
        <v>CHG-93606</v>
      </c>
      <c r="P62" s="9" t="str">
        <f aca="false">IF(OR(TRIM(N62)="",TRIM(O62)=""),"EXCEPTION: NO DOCUMENTED APPROVAL","OK - Approved")</f>
        <v>OK - Approved</v>
      </c>
      <c r="Q62" s="9" t="str">
        <f aca="false">IFERROR(INDEX(SoD_Conflict_Matrix!$D$2:$D$7,MATCH(F62,SoD_Conflict_Matrix!$B$2:$B$7,0)),IFERROR(INDEX(SoD_Conflict_Matrix!$B$2:$B$7,MATCH(F62,SoD_Conflict_Matrix!$D$2:$D$7,0)),""))</f>
        <v/>
      </c>
      <c r="R62" s="9" t="str">
        <f aca="false">IFERROR(INDEX(SoD_Conflict_Matrix!$E$2:$E$7,MATCH(F62,SoD_Conflict_Matrix!$B$2:$B$7,0)),IFERROR(INDEX(SoD_Conflict_Matrix!$C$2:$C$7,MATCH(F62,SoD_Conflict_Matrix!$D$2:$D$7,0)),""))</f>
        <v/>
      </c>
      <c r="S62" s="9" t="str">
        <f aca="false">IF(Q62="","No Conflict Rule Applies to This Role",IF(COUNTIFS(Access_Grants!$B$2:$B$175,B62,Access_Grants!$F$2:$F$175,Q62,Access_Grants!$L$2:$L$175,"Active")&gt;0,"EXCEPTION: SoD CONFLICT - ALSO HOLDS "&amp;R62,"OK - No Conflicting Role Held"))</f>
        <v>No Conflict Rule Applies to This Role</v>
      </c>
      <c r="T62" s="9" t="str">
        <f aca="false">IF(AND(H62="Admin",I62="Active"),IF(COUNTIFS(Recertifications!$B$2:$B$119,B62,Recertifications!$E$2:$E$119,F62,Recertifications!$K$2:$K$119,"&lt;&gt;")&gt;0,"OK - Recertified","EXCEPTION: PRIVILEGED ACCESS NEVER RECERTIFIED"),"N/A - Not Privileged")</f>
        <v>N/A - Not Privileged</v>
      </c>
      <c r="U62" s="9" t="str">
        <f aca="false">IF(OR(LEFT(M62,9)="EXCEPTION",LEFT(P62,9)="EXCEPTION",LEFT(S62,9)="EXCEPTION",LEFT(T62,9)="EXCEPTION"),"EXCEPTION","Clean")</f>
        <v>Clean</v>
      </c>
      <c r="V62" s="9" t="str">
        <f aca="false">IF(LEFT(M62,9)="EXCEPTION","Deprovisioning Control Gap",IF(LEFT(S62,9)="EXCEPTION","Segregation of Duties Conflict",IF(LEFT(P62,9)="EXCEPTION","Provisioning Approval Gap",IF(LEFT(T62,9)="EXCEPTION","Recertification Gap","N/A"))))</f>
        <v>N/A</v>
      </c>
    </row>
    <row r="63" customFormat="false" ht="15" hidden="false" customHeight="true" outlineLevel="0" collapsed="false">
      <c r="A63" s="9" t="str">
        <f aca="false">Access_Grants!A63</f>
        <v>AG-0062</v>
      </c>
      <c r="B63" s="9" t="str">
        <f aca="false">Access_Grants!B63</f>
        <v>E019</v>
      </c>
      <c r="C63" s="9" t="str">
        <f aca="false">Access_Grants!C63</f>
        <v>Sophia Abara</v>
      </c>
      <c r="D63" s="9" t="str">
        <f aca="false">Access_Grants!D63</f>
        <v>Procurement</v>
      </c>
      <c r="E63" s="9" t="str">
        <f aca="false">Access_Grants!E63</f>
        <v>SYS-ERP</v>
      </c>
      <c r="F63" s="9" t="str">
        <f aca="false">Access_Grants!F63</f>
        <v>R03</v>
      </c>
      <c r="G63" s="9" t="str">
        <f aca="false">Access_Grants!G63</f>
        <v>Vendor Master Maintenance</v>
      </c>
      <c r="H63" s="9" t="str">
        <f aca="false">Access_Grants!H63</f>
        <v>Write</v>
      </c>
      <c r="I63" s="9" t="str">
        <f aca="false">Access_Grants!L63</f>
        <v>Active</v>
      </c>
      <c r="J63" s="10" t="n">
        <f aca="false">Access_Grants!I63</f>
        <v>44952</v>
      </c>
      <c r="K63" s="10" t="n">
        <f aca="false">IFERROR(INDEX(HR_Employees!$F$2:$F$51,MATCH(B63,HR_Employees!$A$2:$A$51,0)),"")</f>
        <v>0</v>
      </c>
      <c r="L63" s="10" t="str">
        <f aca="false">IF(Access_Grants!M63="","",Access_Grants!M63)</f>
        <v/>
      </c>
      <c r="M63" s="9" t="str">
        <f aca="false">IF(K63="","N/A - Active Employee",IF(OR(I63="Active",AND(L63&lt;&gt;"",L63&gt;K63+5)),"EXCEPTION: TERMINATED USER - ACCESS NOT REVOKED TIMELY","OK - Revoked Within SLA"))</f>
        <v>N/A - Active Employee</v>
      </c>
      <c r="N63" s="9" t="str">
        <f aca="false">Access_Grants!J63&amp;""</f>
        <v>MGR-10</v>
      </c>
      <c r="O63" s="9" t="str">
        <f aca="false">Access_Grants!K63&amp;""</f>
        <v>CHG-47268</v>
      </c>
      <c r="P63" s="9" t="str">
        <f aca="false">IF(OR(TRIM(N63)="",TRIM(O63)=""),"EXCEPTION: NO DOCUMENTED APPROVAL","OK - Approved")</f>
        <v>OK - Approved</v>
      </c>
      <c r="Q63" s="9" t="str">
        <f aca="false">IFERROR(INDEX(SoD_Conflict_Matrix!$D$2:$D$7,MATCH(F63,SoD_Conflict_Matrix!$B$2:$B$7,0)),IFERROR(INDEX(SoD_Conflict_Matrix!$B$2:$B$7,MATCH(F63,SoD_Conflict_Matrix!$D$2:$D$7,0)),""))</f>
        <v>R02</v>
      </c>
      <c r="R63" s="9" t="str">
        <f aca="false">IFERROR(INDEX(SoD_Conflict_Matrix!$E$2:$E$7,MATCH(F63,SoD_Conflict_Matrix!$B$2:$B$7,0)),IFERROR(INDEX(SoD_Conflict_Matrix!$C$2:$C$7,MATCH(F63,SoD_Conflict_Matrix!$D$2:$D$7,0)),""))</f>
        <v>AP Payment Approval</v>
      </c>
      <c r="S63" s="9" t="str">
        <f aca="false">IF(Q63="","No Conflict Rule Applies to This Role",IF(COUNTIFS(Access_Grants!$B$2:$B$175,B63,Access_Grants!$F$2:$F$175,Q63,Access_Grants!$L$2:$L$175,"Active")&gt;0,"EXCEPTION: SoD CONFLICT - ALSO HOLDS "&amp;R63,"OK - No Conflicting Role Held"))</f>
        <v>OK - No Conflicting Role Held</v>
      </c>
      <c r="T63" s="9" t="str">
        <f aca="false">IF(AND(H63="Admin",I63="Active"),IF(COUNTIFS(Recertifications!$B$2:$B$119,B63,Recertifications!$E$2:$E$119,F63,Recertifications!$K$2:$K$119,"&lt;&gt;")&gt;0,"OK - Recertified","EXCEPTION: PRIVILEGED ACCESS NEVER RECERTIFIED"),"N/A - Not Privileged")</f>
        <v>N/A - Not Privileged</v>
      </c>
      <c r="U63" s="9" t="str">
        <f aca="false">IF(OR(LEFT(M63,9)="EXCEPTION",LEFT(P63,9)="EXCEPTION",LEFT(S63,9)="EXCEPTION",LEFT(T63,9)="EXCEPTION"),"EXCEPTION","Clean")</f>
        <v>Clean</v>
      </c>
      <c r="V63" s="9" t="str">
        <f aca="false">IF(LEFT(M63,9)="EXCEPTION","Deprovisioning Control Gap",IF(LEFT(S63,9)="EXCEPTION","Segregation of Duties Conflict",IF(LEFT(P63,9)="EXCEPTION","Provisioning Approval Gap",IF(LEFT(T63,9)="EXCEPTION","Recertification Gap","N/A"))))</f>
        <v>N/A</v>
      </c>
    </row>
    <row r="64" customFormat="false" ht="15" hidden="false" customHeight="true" outlineLevel="0" collapsed="false">
      <c r="A64" s="9" t="str">
        <f aca="false">Access_Grants!A64</f>
        <v>AG-0063</v>
      </c>
      <c r="B64" s="9" t="str">
        <f aca="false">Access_Grants!B64</f>
        <v>E019</v>
      </c>
      <c r="C64" s="9" t="str">
        <f aca="false">Access_Grants!C64</f>
        <v>Sophia Abara</v>
      </c>
      <c r="D64" s="9" t="str">
        <f aca="false">Access_Grants!D64</f>
        <v>Procurement</v>
      </c>
      <c r="E64" s="9" t="str">
        <f aca="false">Access_Grants!E64</f>
        <v>SYS-ERP</v>
      </c>
      <c r="F64" s="9" t="str">
        <f aca="false">Access_Grants!F64</f>
        <v>R01</v>
      </c>
      <c r="G64" s="9" t="str">
        <f aca="false">Access_Grants!G64</f>
        <v>AP Invoice Entry</v>
      </c>
      <c r="H64" s="9" t="str">
        <f aca="false">Access_Grants!H64</f>
        <v>Write</v>
      </c>
      <c r="I64" s="9" t="str">
        <f aca="false">Access_Grants!L64</f>
        <v>Active</v>
      </c>
      <c r="J64" s="10" t="n">
        <f aca="false">Access_Grants!I64</f>
        <v>45304</v>
      </c>
      <c r="K64" s="10" t="n">
        <f aca="false">IFERROR(INDEX(HR_Employees!$F$2:$F$51,MATCH(B64,HR_Employees!$A$2:$A$51,0)),"")</f>
        <v>0</v>
      </c>
      <c r="L64" s="10" t="str">
        <f aca="false">IF(Access_Grants!M64="","",Access_Grants!M64)</f>
        <v/>
      </c>
      <c r="M64" s="9" t="str">
        <f aca="false">IF(K64="","N/A - Active Employee",IF(OR(I64="Active",AND(L64&lt;&gt;"",L64&gt;K64+5)),"EXCEPTION: TERMINATED USER - ACCESS NOT REVOKED TIMELY","OK - Revoked Within SLA"))</f>
        <v>N/A - Active Employee</v>
      </c>
      <c r="N64" s="9" t="str">
        <f aca="false">Access_Grants!J64&amp;""</f>
        <v>MGR-01</v>
      </c>
      <c r="O64" s="9" t="str">
        <f aca="false">Access_Grants!K64&amp;""</f>
        <v>CHG-43092</v>
      </c>
      <c r="P64" s="9" t="str">
        <f aca="false">IF(OR(TRIM(N64)="",TRIM(O64)=""),"EXCEPTION: NO DOCUMENTED APPROVAL","OK - Approved")</f>
        <v>OK - Approved</v>
      </c>
      <c r="Q64" s="9" t="str">
        <f aca="false">IFERROR(INDEX(SoD_Conflict_Matrix!$D$2:$D$7,MATCH(F64,SoD_Conflict_Matrix!$B$2:$B$7,0)),IFERROR(INDEX(SoD_Conflict_Matrix!$B$2:$B$7,MATCH(F64,SoD_Conflict_Matrix!$D$2:$D$7,0)),""))</f>
        <v>R02</v>
      </c>
      <c r="R64" s="9" t="str">
        <f aca="false">IFERROR(INDEX(SoD_Conflict_Matrix!$E$2:$E$7,MATCH(F64,SoD_Conflict_Matrix!$B$2:$B$7,0)),IFERROR(INDEX(SoD_Conflict_Matrix!$C$2:$C$7,MATCH(F64,SoD_Conflict_Matrix!$D$2:$D$7,0)),""))</f>
        <v>AP Payment Approval</v>
      </c>
      <c r="S64" s="9" t="str">
        <f aca="false">IF(Q64="","No Conflict Rule Applies to This Role",IF(COUNTIFS(Access_Grants!$B$2:$B$175,B64,Access_Grants!$F$2:$F$175,Q64,Access_Grants!$L$2:$L$175,"Active")&gt;0,"EXCEPTION: SoD CONFLICT - ALSO HOLDS "&amp;R64,"OK - No Conflicting Role Held"))</f>
        <v>OK - No Conflicting Role Held</v>
      </c>
      <c r="T64" s="9" t="str">
        <f aca="false">IF(AND(H64="Admin",I64="Active"),IF(COUNTIFS(Recertifications!$B$2:$B$119,B64,Recertifications!$E$2:$E$119,F64,Recertifications!$K$2:$K$119,"&lt;&gt;")&gt;0,"OK - Recertified","EXCEPTION: PRIVILEGED ACCESS NEVER RECERTIFIED"),"N/A - Not Privileged")</f>
        <v>N/A - Not Privileged</v>
      </c>
      <c r="U64" s="9" t="str">
        <f aca="false">IF(OR(LEFT(M64,9)="EXCEPTION",LEFT(P64,9)="EXCEPTION",LEFT(S64,9)="EXCEPTION",LEFT(T64,9)="EXCEPTION"),"EXCEPTION","Clean")</f>
        <v>Clean</v>
      </c>
      <c r="V64" s="9" t="str">
        <f aca="false">IF(LEFT(M64,9)="EXCEPTION","Deprovisioning Control Gap",IF(LEFT(S64,9)="EXCEPTION","Segregation of Duties Conflict",IF(LEFT(P64,9)="EXCEPTION","Provisioning Approval Gap",IF(LEFT(T64,9)="EXCEPTION","Recertification Gap","N/A"))))</f>
        <v>N/A</v>
      </c>
    </row>
    <row r="65" customFormat="false" ht="15" hidden="false" customHeight="true" outlineLevel="0" collapsed="false">
      <c r="A65" s="9" t="str">
        <f aca="false">Access_Grants!A65</f>
        <v>AG-0064</v>
      </c>
      <c r="B65" s="9" t="str">
        <f aca="false">Access_Grants!B65</f>
        <v>E019</v>
      </c>
      <c r="C65" s="9" t="str">
        <f aca="false">Access_Grants!C65</f>
        <v>Sophia Abara</v>
      </c>
      <c r="D65" s="9" t="str">
        <f aca="false">Access_Grants!D65</f>
        <v>Procurement</v>
      </c>
      <c r="E65" s="9" t="str">
        <f aca="false">Access_Grants!E65</f>
        <v>SYS-ERP</v>
      </c>
      <c r="F65" s="9" t="str">
        <f aca="false">Access_Grants!F65</f>
        <v>R02</v>
      </c>
      <c r="G65" s="9" t="str">
        <f aca="false">Access_Grants!G65</f>
        <v>AP Payment Approval</v>
      </c>
      <c r="H65" s="9" t="str">
        <f aca="false">Access_Grants!H65</f>
        <v>Write</v>
      </c>
      <c r="I65" s="9" t="str">
        <f aca="false">Access_Grants!L65</f>
        <v>Revoked</v>
      </c>
      <c r="J65" s="10" t="n">
        <f aca="false">Access_Grants!I65</f>
        <v>45060</v>
      </c>
      <c r="K65" s="10" t="n">
        <f aca="false">IFERROR(INDEX(HR_Employees!$F$2:$F$51,MATCH(B65,HR_Employees!$A$2:$A$51,0)),"")</f>
        <v>0</v>
      </c>
      <c r="L65" s="10" t="n">
        <f aca="false">IF(Access_Grants!M65="","",Access_Grants!M65)</f>
        <v>45365</v>
      </c>
      <c r="M65" s="9" t="str">
        <f aca="false">IF(K65="","N/A - Active Employee",IF(OR(I65="Active",AND(L65&lt;&gt;"",L65&gt;K65+5)),"EXCEPTION: TERMINATED USER - ACCESS NOT REVOKED TIMELY","OK - Revoked Within SLA"))</f>
        <v>N/A - Active Employee</v>
      </c>
      <c r="N65" s="9" t="str">
        <f aca="false">Access_Grants!J65&amp;""</f>
        <v>MGR-07</v>
      </c>
      <c r="O65" s="9" t="str">
        <f aca="false">Access_Grants!K65&amp;""</f>
        <v/>
      </c>
      <c r="P65" s="9" t="str">
        <f aca="false">IF(OR(TRIM(N65)="",TRIM(O65)=""),"EXCEPTION: NO DOCUMENTED APPROVAL","OK - Approved")</f>
        <v>EXCEPTION: NO DOCUMENTED APPROVAL</v>
      </c>
      <c r="Q65" s="9" t="str">
        <f aca="false">IFERROR(INDEX(SoD_Conflict_Matrix!$D$2:$D$7,MATCH(F65,SoD_Conflict_Matrix!$B$2:$B$7,0)),IFERROR(INDEX(SoD_Conflict_Matrix!$B$2:$B$7,MATCH(F65,SoD_Conflict_Matrix!$D$2:$D$7,0)),""))</f>
        <v>R01</v>
      </c>
      <c r="R65" s="9" t="str">
        <f aca="false">IFERROR(INDEX(SoD_Conflict_Matrix!$E$2:$E$7,MATCH(F65,SoD_Conflict_Matrix!$B$2:$B$7,0)),IFERROR(INDEX(SoD_Conflict_Matrix!$C$2:$C$7,MATCH(F65,SoD_Conflict_Matrix!$D$2:$D$7,0)),""))</f>
        <v>AP Invoice Entry</v>
      </c>
      <c r="S65" s="9" t="str">
        <f aca="false">IF(Q65="","No Conflict Rule Applies to This Role",IF(COUNTIFS(Access_Grants!$B$2:$B$175,B65,Access_Grants!$F$2:$F$175,Q65,Access_Grants!$L$2:$L$175,"Active")&gt;0,"EXCEPTION: SoD CONFLICT - ALSO HOLDS "&amp;R65,"OK - No Conflicting Role Held"))</f>
        <v>EXCEPTION: SoD CONFLICT - ALSO HOLDS AP Invoice Entry</v>
      </c>
      <c r="T65" s="9" t="str">
        <f aca="false">IF(AND(H65="Admin",I65="Active"),IF(COUNTIFS(Recertifications!$B$2:$B$119,B65,Recertifications!$E$2:$E$119,F65,Recertifications!$K$2:$K$119,"&lt;&gt;")&gt;0,"OK - Recertified","EXCEPTION: PRIVILEGED ACCESS NEVER RECERTIFIED"),"N/A - Not Privileged")</f>
        <v>N/A - Not Privileged</v>
      </c>
      <c r="U65" s="9" t="str">
        <f aca="false">IF(OR(LEFT(M65,9)="EXCEPTION",LEFT(P65,9)="EXCEPTION",LEFT(S65,9)="EXCEPTION",LEFT(T65,9)="EXCEPTION"),"EXCEPTION","Clean")</f>
        <v>EXCEPTION</v>
      </c>
      <c r="V65" s="9" t="str">
        <f aca="false">IF(LEFT(M65,9)="EXCEPTION","Deprovisioning Control Gap",IF(LEFT(S65,9)="EXCEPTION","Segregation of Duties Conflict",IF(LEFT(P65,9)="EXCEPTION","Provisioning Approval Gap",IF(LEFT(T65,9)="EXCEPTION","Recertification Gap","N/A"))))</f>
        <v>Segregation of Duties Conflict</v>
      </c>
    </row>
    <row r="66" customFormat="false" ht="15" hidden="false" customHeight="true" outlineLevel="0" collapsed="false">
      <c r="A66" s="9" t="str">
        <f aca="false">Access_Grants!A66</f>
        <v>AG-0065</v>
      </c>
      <c r="B66" s="9" t="str">
        <f aca="false">Access_Grants!B66</f>
        <v>E020</v>
      </c>
      <c r="C66" s="9" t="str">
        <f aca="false">Access_Grants!C66</f>
        <v>Diego Ivanov</v>
      </c>
      <c r="D66" s="9" t="str">
        <f aca="false">Access_Grants!D66</f>
        <v>Payroll</v>
      </c>
      <c r="E66" s="9" t="str">
        <f aca="false">Access_Grants!E66</f>
        <v>SYS-HRIS</v>
      </c>
      <c r="F66" s="9" t="str">
        <f aca="false">Access_Grants!F66</f>
        <v>R07</v>
      </c>
      <c r="G66" s="9" t="str">
        <f aca="false">Access_Grants!G66</f>
        <v>Payroll Approval / Release</v>
      </c>
      <c r="H66" s="9" t="str">
        <f aca="false">Access_Grants!H66</f>
        <v>Admin</v>
      </c>
      <c r="I66" s="9" t="str">
        <f aca="false">Access_Grants!L66</f>
        <v>Active</v>
      </c>
      <c r="J66" s="10" t="n">
        <f aca="false">Access_Grants!I66</f>
        <v>45750</v>
      </c>
      <c r="K66" s="10" t="n">
        <f aca="false">IFERROR(INDEX(HR_Employees!$F$2:$F$51,MATCH(B66,HR_Employees!$A$2:$A$51,0)),"")</f>
        <v>45927</v>
      </c>
      <c r="L66" s="10" t="str">
        <f aca="false">IF(Access_Grants!M66="","",Access_Grants!M66)</f>
        <v/>
      </c>
      <c r="M66" s="9" t="str">
        <f aca="false">IF(K66="","N/A - Active Employee",IF(OR(I66="Active",AND(L66&lt;&gt;"",L66&gt;K66+5)),"EXCEPTION: TERMINATED USER - ACCESS NOT REVOKED TIMELY","OK - Revoked Within SLA"))</f>
        <v>EXCEPTION: TERMINATED USER - ACCESS NOT REVOKED TIMELY</v>
      </c>
      <c r="N66" s="9" t="str">
        <f aca="false">Access_Grants!J66&amp;""</f>
        <v>MGR-10</v>
      </c>
      <c r="O66" s="9" t="str">
        <f aca="false">Access_Grants!K66&amp;""</f>
        <v>CHG-88135</v>
      </c>
      <c r="P66" s="9" t="str">
        <f aca="false">IF(OR(TRIM(N66)="",TRIM(O66)=""),"EXCEPTION: NO DOCUMENTED APPROVAL","OK - Approved")</f>
        <v>OK - Approved</v>
      </c>
      <c r="Q66" s="9" t="str">
        <f aca="false">IFERROR(INDEX(SoD_Conflict_Matrix!$D$2:$D$7,MATCH(F66,SoD_Conflict_Matrix!$B$2:$B$7,0)),IFERROR(INDEX(SoD_Conflict_Matrix!$B$2:$B$7,MATCH(F66,SoD_Conflict_Matrix!$D$2:$D$7,0)),""))</f>
        <v>R06</v>
      </c>
      <c r="R66" s="9" t="str">
        <f aca="false">IFERROR(INDEX(SoD_Conflict_Matrix!$E$2:$E$7,MATCH(F66,SoD_Conflict_Matrix!$B$2:$B$7,0)),IFERROR(INDEX(SoD_Conflict_Matrix!$C$2:$C$7,MATCH(F66,SoD_Conflict_Matrix!$D$2:$D$7,0)),""))</f>
        <v>Payroll Data Entry</v>
      </c>
      <c r="S66" s="9" t="str">
        <f aca="false">IF(Q66="","No Conflict Rule Applies to This Role",IF(COUNTIFS(Access_Grants!$B$2:$B$175,B66,Access_Grants!$F$2:$F$175,Q66,Access_Grants!$L$2:$L$175,"Active")&gt;0,"EXCEPTION: SoD CONFLICT - ALSO HOLDS "&amp;R66,"OK - No Conflicting Role Held"))</f>
        <v>EXCEPTION: SoD CONFLICT - ALSO HOLDS Payroll Data Entry</v>
      </c>
      <c r="T66" s="9" t="str">
        <f aca="false">IF(AND(H66="Admin",I66="Active"),IF(COUNTIFS(Recertifications!$B$2:$B$119,B66,Recertifications!$E$2:$E$119,F66,Recertifications!$K$2:$K$119,"&lt;&gt;")&gt;0,"OK - Recertified","EXCEPTION: PRIVILEGED ACCESS NEVER RECERTIFIED"),"N/A - Not Privileged")</f>
        <v>OK - Recertified</v>
      </c>
      <c r="U66" s="9" t="str">
        <f aca="false">IF(OR(LEFT(M66,9)="EXCEPTION",LEFT(P66,9)="EXCEPTION",LEFT(S66,9)="EXCEPTION",LEFT(T66,9)="EXCEPTION"),"EXCEPTION","Clean")</f>
        <v>EXCEPTION</v>
      </c>
      <c r="V66" s="9" t="str">
        <f aca="false">IF(LEFT(M66,9)="EXCEPTION","Deprovisioning Control Gap",IF(LEFT(S66,9)="EXCEPTION","Segregation of Duties Conflict",IF(LEFT(P66,9)="EXCEPTION","Provisioning Approval Gap",IF(LEFT(T66,9)="EXCEPTION","Recertification Gap","N/A"))))</f>
        <v>Deprovisioning Control Gap</v>
      </c>
    </row>
    <row r="67" customFormat="false" ht="15" hidden="false" customHeight="true" outlineLevel="0" collapsed="false">
      <c r="A67" s="9" t="str">
        <f aca="false">Access_Grants!A67</f>
        <v>AG-0066</v>
      </c>
      <c r="B67" s="9" t="str">
        <f aca="false">Access_Grants!B67</f>
        <v>E020</v>
      </c>
      <c r="C67" s="9" t="str">
        <f aca="false">Access_Grants!C67</f>
        <v>Diego Ivanov</v>
      </c>
      <c r="D67" s="9" t="str">
        <f aca="false">Access_Grants!D67</f>
        <v>Payroll</v>
      </c>
      <c r="E67" s="9" t="str">
        <f aca="false">Access_Grants!E67</f>
        <v>SYS-HRIS</v>
      </c>
      <c r="F67" s="9" t="str">
        <f aca="false">Access_Grants!F67</f>
        <v>R06</v>
      </c>
      <c r="G67" s="9" t="str">
        <f aca="false">Access_Grants!G67</f>
        <v>Payroll Data Entry</v>
      </c>
      <c r="H67" s="9" t="str">
        <f aca="false">Access_Grants!H67</f>
        <v>Write</v>
      </c>
      <c r="I67" s="9" t="str">
        <f aca="false">Access_Grants!L67</f>
        <v>Active</v>
      </c>
      <c r="J67" s="10" t="n">
        <f aca="false">Access_Grants!I67</f>
        <v>45859</v>
      </c>
      <c r="K67" s="10" t="n">
        <f aca="false">IFERROR(INDEX(HR_Employees!$F$2:$F$51,MATCH(B67,HR_Employees!$A$2:$A$51,0)),"")</f>
        <v>45927</v>
      </c>
      <c r="L67" s="10" t="str">
        <f aca="false">IF(Access_Grants!M67="","",Access_Grants!M67)</f>
        <v/>
      </c>
      <c r="M67" s="9" t="str">
        <f aca="false">IF(K67="","N/A - Active Employee",IF(OR(I67="Active",AND(L67&lt;&gt;"",L67&gt;K67+5)),"EXCEPTION: TERMINATED USER - ACCESS NOT REVOKED TIMELY","OK - Revoked Within SLA"))</f>
        <v>EXCEPTION: TERMINATED USER - ACCESS NOT REVOKED TIMELY</v>
      </c>
      <c r="N67" s="9" t="str">
        <f aca="false">Access_Grants!J67&amp;""</f>
        <v>MGR-07</v>
      </c>
      <c r="O67" s="9" t="str">
        <f aca="false">Access_Grants!K67&amp;""</f>
        <v>CHG-69049</v>
      </c>
      <c r="P67" s="9" t="str">
        <f aca="false">IF(OR(TRIM(N67)="",TRIM(O67)=""),"EXCEPTION: NO DOCUMENTED APPROVAL","OK - Approved")</f>
        <v>OK - Approved</v>
      </c>
      <c r="Q67" s="9" t="str">
        <f aca="false">IFERROR(INDEX(SoD_Conflict_Matrix!$D$2:$D$7,MATCH(F67,SoD_Conflict_Matrix!$B$2:$B$7,0)),IFERROR(INDEX(SoD_Conflict_Matrix!$B$2:$B$7,MATCH(F67,SoD_Conflict_Matrix!$D$2:$D$7,0)),""))</f>
        <v>R07</v>
      </c>
      <c r="R67" s="9" t="str">
        <f aca="false">IFERROR(INDEX(SoD_Conflict_Matrix!$E$2:$E$7,MATCH(F67,SoD_Conflict_Matrix!$B$2:$B$7,0)),IFERROR(INDEX(SoD_Conflict_Matrix!$C$2:$C$7,MATCH(F67,SoD_Conflict_Matrix!$D$2:$D$7,0)),""))</f>
        <v>Payroll Approval / Release</v>
      </c>
      <c r="S67" s="9" t="str">
        <f aca="false">IF(Q67="","No Conflict Rule Applies to This Role",IF(COUNTIFS(Access_Grants!$B$2:$B$175,B67,Access_Grants!$F$2:$F$175,Q67,Access_Grants!$L$2:$L$175,"Active")&gt;0,"EXCEPTION: SoD CONFLICT - ALSO HOLDS "&amp;R67,"OK - No Conflicting Role Held"))</f>
        <v>EXCEPTION: SoD CONFLICT - ALSO HOLDS Payroll Approval / Release</v>
      </c>
      <c r="T67" s="9" t="str">
        <f aca="false">IF(AND(H67="Admin",I67="Active"),IF(COUNTIFS(Recertifications!$B$2:$B$119,B67,Recertifications!$E$2:$E$119,F67,Recertifications!$K$2:$K$119,"&lt;&gt;")&gt;0,"OK - Recertified","EXCEPTION: PRIVILEGED ACCESS NEVER RECERTIFIED"),"N/A - Not Privileged")</f>
        <v>N/A - Not Privileged</v>
      </c>
      <c r="U67" s="9" t="str">
        <f aca="false">IF(OR(LEFT(M67,9)="EXCEPTION",LEFT(P67,9)="EXCEPTION",LEFT(S67,9)="EXCEPTION",LEFT(T67,9)="EXCEPTION"),"EXCEPTION","Clean")</f>
        <v>EXCEPTION</v>
      </c>
      <c r="V67" s="9" t="str">
        <f aca="false">IF(LEFT(M67,9)="EXCEPTION","Deprovisioning Control Gap",IF(LEFT(S67,9)="EXCEPTION","Segregation of Duties Conflict",IF(LEFT(P67,9)="EXCEPTION","Provisioning Approval Gap",IF(LEFT(T67,9)="EXCEPTION","Recertification Gap","N/A"))))</f>
        <v>Deprovisioning Control Gap</v>
      </c>
    </row>
    <row r="68" customFormat="false" ht="15" hidden="false" customHeight="true" outlineLevel="0" collapsed="false">
      <c r="A68" s="9" t="str">
        <f aca="false">Access_Grants!A68</f>
        <v>AG-0067</v>
      </c>
      <c r="B68" s="9" t="str">
        <f aca="false">Access_Grants!B68</f>
        <v>E020</v>
      </c>
      <c r="C68" s="9" t="str">
        <f aca="false">Access_Grants!C68</f>
        <v>Diego Ivanov</v>
      </c>
      <c r="D68" s="9" t="str">
        <f aca="false">Access_Grants!D68</f>
        <v>Payroll</v>
      </c>
      <c r="E68" s="9" t="str">
        <f aca="false">Access_Grants!E68</f>
        <v>SYS-HRIS</v>
      </c>
      <c r="F68" s="9" t="str">
        <f aca="false">Access_Grants!F68</f>
        <v>R08</v>
      </c>
      <c r="G68" s="9" t="str">
        <f aca="false">Access_Grants!G68</f>
        <v>Employee Master Read-Only</v>
      </c>
      <c r="H68" s="9" t="str">
        <f aca="false">Access_Grants!H68</f>
        <v>Read</v>
      </c>
      <c r="I68" s="9" t="str">
        <f aca="false">Access_Grants!L68</f>
        <v>Active</v>
      </c>
      <c r="J68" s="10" t="n">
        <f aca="false">Access_Grants!I68</f>
        <v>45926</v>
      </c>
      <c r="K68" s="10" t="n">
        <f aca="false">IFERROR(INDEX(HR_Employees!$F$2:$F$51,MATCH(B68,HR_Employees!$A$2:$A$51,0)),"")</f>
        <v>45927</v>
      </c>
      <c r="L68" s="10" t="str">
        <f aca="false">IF(Access_Grants!M68="","",Access_Grants!M68)</f>
        <v/>
      </c>
      <c r="M68" s="9" t="str">
        <f aca="false">IF(K68="","N/A - Active Employee",IF(OR(I68="Active",AND(L68&lt;&gt;"",L68&gt;K68+5)),"EXCEPTION: TERMINATED USER - ACCESS NOT REVOKED TIMELY","OK - Revoked Within SLA"))</f>
        <v>EXCEPTION: TERMINATED USER - ACCESS NOT REVOKED TIMELY</v>
      </c>
      <c r="N68" s="9" t="str">
        <f aca="false">Access_Grants!J68&amp;""</f>
        <v>MGR-07</v>
      </c>
      <c r="O68" s="9" t="str">
        <f aca="false">Access_Grants!K68&amp;""</f>
        <v>CHG-50026</v>
      </c>
      <c r="P68" s="9" t="str">
        <f aca="false">IF(OR(TRIM(N68)="",TRIM(O68)=""),"EXCEPTION: NO DOCUMENTED APPROVAL","OK - Approved")</f>
        <v>OK - Approved</v>
      </c>
      <c r="Q68" s="9" t="str">
        <f aca="false">IFERROR(INDEX(SoD_Conflict_Matrix!$D$2:$D$7,MATCH(F68,SoD_Conflict_Matrix!$B$2:$B$7,0)),IFERROR(INDEX(SoD_Conflict_Matrix!$B$2:$B$7,MATCH(F68,SoD_Conflict_Matrix!$D$2:$D$7,0)),""))</f>
        <v/>
      </c>
      <c r="R68" s="9" t="str">
        <f aca="false">IFERROR(INDEX(SoD_Conflict_Matrix!$E$2:$E$7,MATCH(F68,SoD_Conflict_Matrix!$B$2:$B$7,0)),IFERROR(INDEX(SoD_Conflict_Matrix!$C$2:$C$7,MATCH(F68,SoD_Conflict_Matrix!$D$2:$D$7,0)),""))</f>
        <v/>
      </c>
      <c r="S68" s="9" t="str">
        <f aca="false">IF(Q68="","No Conflict Rule Applies to This Role",IF(COUNTIFS(Access_Grants!$B$2:$B$175,B68,Access_Grants!$F$2:$F$175,Q68,Access_Grants!$L$2:$L$175,"Active")&gt;0,"EXCEPTION: SoD CONFLICT - ALSO HOLDS "&amp;R68,"OK - No Conflicting Role Held"))</f>
        <v>No Conflict Rule Applies to This Role</v>
      </c>
      <c r="T68" s="9" t="str">
        <f aca="false">IF(AND(H68="Admin",I68="Active"),IF(COUNTIFS(Recertifications!$B$2:$B$119,B68,Recertifications!$E$2:$E$119,F68,Recertifications!$K$2:$K$119,"&lt;&gt;")&gt;0,"OK - Recertified","EXCEPTION: PRIVILEGED ACCESS NEVER RECERTIFIED"),"N/A - Not Privileged")</f>
        <v>N/A - Not Privileged</v>
      </c>
      <c r="U68" s="9" t="str">
        <f aca="false">IF(OR(LEFT(M68,9)="EXCEPTION",LEFT(P68,9)="EXCEPTION",LEFT(S68,9)="EXCEPTION",LEFT(T68,9)="EXCEPTION"),"EXCEPTION","Clean")</f>
        <v>EXCEPTION</v>
      </c>
      <c r="V68" s="9" t="str">
        <f aca="false">IF(LEFT(M68,9)="EXCEPTION","Deprovisioning Control Gap",IF(LEFT(S68,9)="EXCEPTION","Segregation of Duties Conflict",IF(LEFT(P68,9)="EXCEPTION","Provisioning Approval Gap",IF(LEFT(T68,9)="EXCEPTION","Recertification Gap","N/A"))))</f>
        <v>Deprovisioning Control Gap</v>
      </c>
    </row>
    <row r="69" customFormat="false" ht="15" hidden="false" customHeight="true" outlineLevel="0" collapsed="false">
      <c r="A69" s="9" t="str">
        <f aca="false">Access_Grants!A69</f>
        <v>AG-0068</v>
      </c>
      <c r="B69" s="9" t="str">
        <f aca="false">Access_Grants!B69</f>
        <v>E020</v>
      </c>
      <c r="C69" s="9" t="str">
        <f aca="false">Access_Grants!C69</f>
        <v>Diego Ivanov</v>
      </c>
      <c r="D69" s="9" t="str">
        <f aca="false">Access_Grants!D69</f>
        <v>Payroll</v>
      </c>
      <c r="E69" s="9" t="str">
        <f aca="false">Access_Grants!E69</f>
        <v>SYS-AD</v>
      </c>
      <c r="F69" s="9" t="str">
        <f aca="false">Access_Grants!F69</f>
        <v>R09</v>
      </c>
      <c r="G69" s="9" t="str">
        <f aca="false">Access_Grants!G69</f>
        <v>Standard Network User</v>
      </c>
      <c r="H69" s="9" t="str">
        <f aca="false">Access_Grants!H69</f>
        <v>Read</v>
      </c>
      <c r="I69" s="9" t="str">
        <f aca="false">Access_Grants!L69</f>
        <v>Active</v>
      </c>
      <c r="J69" s="10" t="n">
        <f aca="false">Access_Grants!I69</f>
        <v>46081</v>
      </c>
      <c r="K69" s="10" t="n">
        <f aca="false">IFERROR(INDEX(HR_Employees!$F$2:$F$51,MATCH(B69,HR_Employees!$A$2:$A$51,0)),"")</f>
        <v>45927</v>
      </c>
      <c r="L69" s="10" t="str">
        <f aca="false">IF(Access_Grants!M69="","",Access_Grants!M69)</f>
        <v/>
      </c>
      <c r="M69" s="9" t="str">
        <f aca="false">IF(K69="","N/A - Active Employee",IF(OR(I69="Active",AND(L69&lt;&gt;"",L69&gt;K69+5)),"EXCEPTION: TERMINATED USER - ACCESS NOT REVOKED TIMELY","OK - Revoked Within SLA"))</f>
        <v>EXCEPTION: TERMINATED USER - ACCESS NOT REVOKED TIMELY</v>
      </c>
      <c r="N69" s="9" t="str">
        <f aca="false">Access_Grants!J69&amp;""</f>
        <v>MGR-02</v>
      </c>
      <c r="O69" s="9" t="str">
        <f aca="false">Access_Grants!K69&amp;""</f>
        <v>CHG-37235</v>
      </c>
      <c r="P69" s="9" t="str">
        <f aca="false">IF(OR(TRIM(N69)="",TRIM(O69)=""),"EXCEPTION: NO DOCUMENTED APPROVAL","OK - Approved")</f>
        <v>OK - Approved</v>
      </c>
      <c r="Q69" s="9" t="str">
        <f aca="false">IFERROR(INDEX(SoD_Conflict_Matrix!$D$2:$D$7,MATCH(F69,SoD_Conflict_Matrix!$B$2:$B$7,0)),IFERROR(INDEX(SoD_Conflict_Matrix!$B$2:$B$7,MATCH(F69,SoD_Conflict_Matrix!$D$2:$D$7,0)),""))</f>
        <v/>
      </c>
      <c r="R69" s="9" t="str">
        <f aca="false">IFERROR(INDEX(SoD_Conflict_Matrix!$E$2:$E$7,MATCH(F69,SoD_Conflict_Matrix!$B$2:$B$7,0)),IFERROR(INDEX(SoD_Conflict_Matrix!$C$2:$C$7,MATCH(F69,SoD_Conflict_Matrix!$D$2:$D$7,0)),""))</f>
        <v/>
      </c>
      <c r="S69" s="9" t="str">
        <f aca="false">IF(Q69="","No Conflict Rule Applies to This Role",IF(COUNTIFS(Access_Grants!$B$2:$B$175,B69,Access_Grants!$F$2:$F$175,Q69,Access_Grants!$L$2:$L$175,"Active")&gt;0,"EXCEPTION: SoD CONFLICT - ALSO HOLDS "&amp;R69,"OK - No Conflicting Role Held"))</f>
        <v>No Conflict Rule Applies to This Role</v>
      </c>
      <c r="T69" s="9" t="str">
        <f aca="false">IF(AND(H69="Admin",I69="Active"),IF(COUNTIFS(Recertifications!$B$2:$B$119,B69,Recertifications!$E$2:$E$119,F69,Recertifications!$K$2:$K$119,"&lt;&gt;")&gt;0,"OK - Recertified","EXCEPTION: PRIVILEGED ACCESS NEVER RECERTIFIED"),"N/A - Not Privileged")</f>
        <v>N/A - Not Privileged</v>
      </c>
      <c r="U69" s="9" t="str">
        <f aca="false">IF(OR(LEFT(M69,9)="EXCEPTION",LEFT(P69,9)="EXCEPTION",LEFT(S69,9)="EXCEPTION",LEFT(T69,9)="EXCEPTION"),"EXCEPTION","Clean")</f>
        <v>EXCEPTION</v>
      </c>
      <c r="V69" s="9" t="str">
        <f aca="false">IF(LEFT(M69,9)="EXCEPTION","Deprovisioning Control Gap",IF(LEFT(S69,9)="EXCEPTION","Segregation of Duties Conflict",IF(LEFT(P69,9)="EXCEPTION","Provisioning Approval Gap",IF(LEFT(T69,9)="EXCEPTION","Recertification Gap","N/A"))))</f>
        <v>Deprovisioning Control Gap</v>
      </c>
    </row>
    <row r="70" customFormat="false" ht="15" hidden="false" customHeight="true" outlineLevel="0" collapsed="false">
      <c r="A70" s="9" t="str">
        <f aca="false">Access_Grants!A70</f>
        <v>AG-0069</v>
      </c>
      <c r="B70" s="9" t="str">
        <f aca="false">Access_Grants!B70</f>
        <v>E021</v>
      </c>
      <c r="C70" s="9" t="str">
        <f aca="false">Access_Grants!C70</f>
        <v>Kofi Braga</v>
      </c>
      <c r="D70" s="9" t="str">
        <f aca="false">Access_Grants!D70</f>
        <v>Accounts Payable</v>
      </c>
      <c r="E70" s="9" t="str">
        <f aca="false">Access_Grants!E70</f>
        <v>SYS-AD</v>
      </c>
      <c r="F70" s="9" t="str">
        <f aca="false">Access_Grants!F70</f>
        <v>R09</v>
      </c>
      <c r="G70" s="9" t="str">
        <f aca="false">Access_Grants!G70</f>
        <v>Standard Network User</v>
      </c>
      <c r="H70" s="9" t="str">
        <f aca="false">Access_Grants!H70</f>
        <v>Read</v>
      </c>
      <c r="I70" s="9" t="str">
        <f aca="false">Access_Grants!L70</f>
        <v>Active</v>
      </c>
      <c r="J70" s="10" t="n">
        <f aca="false">Access_Grants!I70</f>
        <v>45247</v>
      </c>
      <c r="K70" s="10" t="n">
        <f aca="false">IFERROR(INDEX(HR_Employees!$F$2:$F$51,MATCH(B70,HR_Employees!$A$2:$A$51,0)),"")</f>
        <v>0</v>
      </c>
      <c r="L70" s="10" t="str">
        <f aca="false">IF(Access_Grants!M70="","",Access_Grants!M70)</f>
        <v/>
      </c>
      <c r="M70" s="9" t="str">
        <f aca="false">IF(K70="","N/A - Active Employee",IF(OR(I70="Active",AND(L70&lt;&gt;"",L70&gt;K70+5)),"EXCEPTION: TERMINATED USER - ACCESS NOT REVOKED TIMELY","OK - Revoked Within SLA"))</f>
        <v>N/A - Active Employee</v>
      </c>
      <c r="N70" s="9" t="str">
        <f aca="false">Access_Grants!J70&amp;""</f>
        <v>MGR-01</v>
      </c>
      <c r="O70" s="9" t="str">
        <f aca="false">Access_Grants!K70&amp;""</f>
        <v>CHG-63545</v>
      </c>
      <c r="P70" s="9" t="str">
        <f aca="false">IF(OR(TRIM(N70)="",TRIM(O70)=""),"EXCEPTION: NO DOCUMENTED APPROVAL","OK - Approved")</f>
        <v>OK - Approved</v>
      </c>
      <c r="Q70" s="9" t="str">
        <f aca="false">IFERROR(INDEX(SoD_Conflict_Matrix!$D$2:$D$7,MATCH(F70,SoD_Conflict_Matrix!$B$2:$B$7,0)),IFERROR(INDEX(SoD_Conflict_Matrix!$B$2:$B$7,MATCH(F70,SoD_Conflict_Matrix!$D$2:$D$7,0)),""))</f>
        <v/>
      </c>
      <c r="R70" s="9" t="str">
        <f aca="false">IFERROR(INDEX(SoD_Conflict_Matrix!$E$2:$E$7,MATCH(F70,SoD_Conflict_Matrix!$B$2:$B$7,0)),IFERROR(INDEX(SoD_Conflict_Matrix!$C$2:$C$7,MATCH(F70,SoD_Conflict_Matrix!$D$2:$D$7,0)),""))</f>
        <v/>
      </c>
      <c r="S70" s="9" t="str">
        <f aca="false">IF(Q70="","No Conflict Rule Applies to This Role",IF(COUNTIFS(Access_Grants!$B$2:$B$175,B70,Access_Grants!$F$2:$F$175,Q70,Access_Grants!$L$2:$L$175,"Active")&gt;0,"EXCEPTION: SoD CONFLICT - ALSO HOLDS "&amp;R70,"OK - No Conflicting Role Held"))</f>
        <v>No Conflict Rule Applies to This Role</v>
      </c>
      <c r="T70" s="9" t="str">
        <f aca="false">IF(AND(H70="Admin",I70="Active"),IF(COUNTIFS(Recertifications!$B$2:$B$119,B70,Recertifications!$E$2:$E$119,F70,Recertifications!$K$2:$K$119,"&lt;&gt;")&gt;0,"OK - Recertified","EXCEPTION: PRIVILEGED ACCESS NEVER RECERTIFIED"),"N/A - Not Privileged")</f>
        <v>N/A - Not Privileged</v>
      </c>
      <c r="U70" s="9" t="str">
        <f aca="false">IF(OR(LEFT(M70,9)="EXCEPTION",LEFT(P70,9)="EXCEPTION",LEFT(S70,9)="EXCEPTION",LEFT(T70,9)="EXCEPTION"),"EXCEPTION","Clean")</f>
        <v>Clean</v>
      </c>
      <c r="V70" s="9" t="str">
        <f aca="false">IF(LEFT(M70,9)="EXCEPTION","Deprovisioning Control Gap",IF(LEFT(S70,9)="EXCEPTION","Segregation of Duties Conflict",IF(LEFT(P70,9)="EXCEPTION","Provisioning Approval Gap",IF(LEFT(T70,9)="EXCEPTION","Recertification Gap","N/A"))))</f>
        <v>N/A</v>
      </c>
    </row>
    <row r="71" customFormat="false" ht="15" hidden="false" customHeight="true" outlineLevel="0" collapsed="false">
      <c r="A71" s="9" t="str">
        <f aca="false">Access_Grants!A71</f>
        <v>AG-0070</v>
      </c>
      <c r="B71" s="9" t="str">
        <f aca="false">Access_Grants!B71</f>
        <v>E021</v>
      </c>
      <c r="C71" s="9" t="str">
        <f aca="false">Access_Grants!C71</f>
        <v>Kofi Braga</v>
      </c>
      <c r="D71" s="9" t="str">
        <f aca="false">Access_Grants!D71</f>
        <v>Accounts Payable</v>
      </c>
      <c r="E71" s="9" t="str">
        <f aca="false">Access_Grants!E71</f>
        <v>SYS-ERP</v>
      </c>
      <c r="F71" s="9" t="str">
        <f aca="false">Access_Grants!F71</f>
        <v>R02</v>
      </c>
      <c r="G71" s="9" t="str">
        <f aca="false">Access_Grants!G71</f>
        <v>AP Payment Approval</v>
      </c>
      <c r="H71" s="9" t="str">
        <f aca="false">Access_Grants!H71</f>
        <v>Write</v>
      </c>
      <c r="I71" s="9" t="str">
        <f aca="false">Access_Grants!L71</f>
        <v>Active</v>
      </c>
      <c r="J71" s="10" t="n">
        <f aca="false">Access_Grants!I71</f>
        <v>45523</v>
      </c>
      <c r="K71" s="10" t="n">
        <f aca="false">IFERROR(INDEX(HR_Employees!$F$2:$F$51,MATCH(B71,HR_Employees!$A$2:$A$51,0)),"")</f>
        <v>0</v>
      </c>
      <c r="L71" s="10" t="str">
        <f aca="false">IF(Access_Grants!M71="","",Access_Grants!M71)</f>
        <v/>
      </c>
      <c r="M71" s="9" t="str">
        <f aca="false">IF(K71="","N/A - Active Employee",IF(OR(I71="Active",AND(L71&lt;&gt;"",L71&gt;K71+5)),"EXCEPTION: TERMINATED USER - ACCESS NOT REVOKED TIMELY","OK - Revoked Within SLA"))</f>
        <v>N/A - Active Employee</v>
      </c>
      <c r="N71" s="9" t="str">
        <f aca="false">Access_Grants!J71&amp;""</f>
        <v>MGR-01</v>
      </c>
      <c r="O71" s="9" t="str">
        <f aca="false">Access_Grants!K71&amp;""</f>
        <v>CHG-40340</v>
      </c>
      <c r="P71" s="9" t="str">
        <f aca="false">IF(OR(TRIM(N71)="",TRIM(O71)=""),"EXCEPTION: NO DOCUMENTED APPROVAL","OK - Approved")</f>
        <v>OK - Approved</v>
      </c>
      <c r="Q71" s="9" t="str">
        <f aca="false">IFERROR(INDEX(SoD_Conflict_Matrix!$D$2:$D$7,MATCH(F71,SoD_Conflict_Matrix!$B$2:$B$7,0)),IFERROR(INDEX(SoD_Conflict_Matrix!$B$2:$B$7,MATCH(F71,SoD_Conflict_Matrix!$D$2:$D$7,0)),""))</f>
        <v>R01</v>
      </c>
      <c r="R71" s="9" t="str">
        <f aca="false">IFERROR(INDEX(SoD_Conflict_Matrix!$E$2:$E$7,MATCH(F71,SoD_Conflict_Matrix!$B$2:$B$7,0)),IFERROR(INDEX(SoD_Conflict_Matrix!$C$2:$C$7,MATCH(F71,SoD_Conflict_Matrix!$D$2:$D$7,0)),""))</f>
        <v>AP Invoice Entry</v>
      </c>
      <c r="S71" s="9" t="str">
        <f aca="false">IF(Q71="","No Conflict Rule Applies to This Role",IF(COUNTIFS(Access_Grants!$B$2:$B$175,B71,Access_Grants!$F$2:$F$175,Q71,Access_Grants!$L$2:$L$175,"Active")&gt;0,"EXCEPTION: SoD CONFLICT - ALSO HOLDS "&amp;R71,"OK - No Conflicting Role Held"))</f>
        <v>EXCEPTION: SoD CONFLICT - ALSO HOLDS AP Invoice Entry</v>
      </c>
      <c r="T71" s="9" t="str">
        <f aca="false">IF(AND(H71="Admin",I71="Active"),IF(COUNTIFS(Recertifications!$B$2:$B$119,B71,Recertifications!$E$2:$E$119,F71,Recertifications!$K$2:$K$119,"&lt;&gt;")&gt;0,"OK - Recertified","EXCEPTION: PRIVILEGED ACCESS NEVER RECERTIFIED"),"N/A - Not Privileged")</f>
        <v>N/A - Not Privileged</v>
      </c>
      <c r="U71" s="9" t="str">
        <f aca="false">IF(OR(LEFT(M71,9)="EXCEPTION",LEFT(P71,9)="EXCEPTION",LEFT(S71,9)="EXCEPTION",LEFT(T71,9)="EXCEPTION"),"EXCEPTION","Clean")</f>
        <v>EXCEPTION</v>
      </c>
      <c r="V71" s="9" t="str">
        <f aca="false">IF(LEFT(M71,9)="EXCEPTION","Deprovisioning Control Gap",IF(LEFT(S71,9)="EXCEPTION","Segregation of Duties Conflict",IF(LEFT(P71,9)="EXCEPTION","Provisioning Approval Gap",IF(LEFT(T71,9)="EXCEPTION","Recertification Gap","N/A"))))</f>
        <v>Segregation of Duties Conflict</v>
      </c>
    </row>
    <row r="72" customFormat="false" ht="15" hidden="false" customHeight="true" outlineLevel="0" collapsed="false">
      <c r="A72" s="9" t="str">
        <f aca="false">Access_Grants!A72</f>
        <v>AG-0071</v>
      </c>
      <c r="B72" s="9" t="str">
        <f aca="false">Access_Grants!B72</f>
        <v>E021</v>
      </c>
      <c r="C72" s="9" t="str">
        <f aca="false">Access_Grants!C72</f>
        <v>Kofi Braga</v>
      </c>
      <c r="D72" s="9" t="str">
        <f aca="false">Access_Grants!D72</f>
        <v>Accounts Payable</v>
      </c>
      <c r="E72" s="9" t="str">
        <f aca="false">Access_Grants!E72</f>
        <v>SYS-ERP</v>
      </c>
      <c r="F72" s="9" t="str">
        <f aca="false">Access_Grants!F72</f>
        <v>R01</v>
      </c>
      <c r="G72" s="9" t="str">
        <f aca="false">Access_Grants!G72</f>
        <v>AP Invoice Entry</v>
      </c>
      <c r="H72" s="9" t="str">
        <f aca="false">Access_Grants!H72</f>
        <v>Write</v>
      </c>
      <c r="I72" s="9" t="str">
        <f aca="false">Access_Grants!L72</f>
        <v>Active</v>
      </c>
      <c r="J72" s="10" t="n">
        <f aca="false">Access_Grants!I72</f>
        <v>45856</v>
      </c>
      <c r="K72" s="10" t="n">
        <f aca="false">IFERROR(INDEX(HR_Employees!$F$2:$F$51,MATCH(B72,HR_Employees!$A$2:$A$51,0)),"")</f>
        <v>0</v>
      </c>
      <c r="L72" s="10" t="str">
        <f aca="false">IF(Access_Grants!M72="","",Access_Grants!M72)</f>
        <v/>
      </c>
      <c r="M72" s="9" t="str">
        <f aca="false">IF(K72="","N/A - Active Employee",IF(OR(I72="Active",AND(L72&lt;&gt;"",L72&gt;K72+5)),"EXCEPTION: TERMINATED USER - ACCESS NOT REVOKED TIMELY","OK - Revoked Within SLA"))</f>
        <v>N/A - Active Employee</v>
      </c>
      <c r="N72" s="9" t="str">
        <f aca="false">Access_Grants!J72&amp;""</f>
        <v>MGR-02</v>
      </c>
      <c r="O72" s="9" t="str">
        <f aca="false">Access_Grants!K72&amp;""</f>
        <v>CHG-40595</v>
      </c>
      <c r="P72" s="9" t="str">
        <f aca="false">IF(OR(TRIM(N72)="",TRIM(O72)=""),"EXCEPTION: NO DOCUMENTED APPROVAL","OK - Approved")</f>
        <v>OK - Approved</v>
      </c>
      <c r="Q72" s="9" t="str">
        <f aca="false">IFERROR(INDEX(SoD_Conflict_Matrix!$D$2:$D$7,MATCH(F72,SoD_Conflict_Matrix!$B$2:$B$7,0)),IFERROR(INDEX(SoD_Conflict_Matrix!$B$2:$B$7,MATCH(F72,SoD_Conflict_Matrix!$D$2:$D$7,0)),""))</f>
        <v>R02</v>
      </c>
      <c r="R72" s="9" t="str">
        <f aca="false">IFERROR(INDEX(SoD_Conflict_Matrix!$E$2:$E$7,MATCH(F72,SoD_Conflict_Matrix!$B$2:$B$7,0)),IFERROR(INDEX(SoD_Conflict_Matrix!$C$2:$C$7,MATCH(F72,SoD_Conflict_Matrix!$D$2:$D$7,0)),""))</f>
        <v>AP Payment Approval</v>
      </c>
      <c r="S72" s="9" t="str">
        <f aca="false">IF(Q72="","No Conflict Rule Applies to This Role",IF(COUNTIFS(Access_Grants!$B$2:$B$175,B72,Access_Grants!$F$2:$F$175,Q72,Access_Grants!$L$2:$L$175,"Active")&gt;0,"EXCEPTION: SoD CONFLICT - ALSO HOLDS "&amp;R72,"OK - No Conflicting Role Held"))</f>
        <v>EXCEPTION: SoD CONFLICT - ALSO HOLDS AP Payment Approval</v>
      </c>
      <c r="T72" s="9" t="str">
        <f aca="false">IF(AND(H72="Admin",I72="Active"),IF(COUNTIFS(Recertifications!$B$2:$B$119,B72,Recertifications!$E$2:$E$119,F72,Recertifications!$K$2:$K$119,"&lt;&gt;")&gt;0,"OK - Recertified","EXCEPTION: PRIVILEGED ACCESS NEVER RECERTIFIED"),"N/A - Not Privileged")</f>
        <v>N/A - Not Privileged</v>
      </c>
      <c r="U72" s="9" t="str">
        <f aca="false">IF(OR(LEFT(M72,9)="EXCEPTION",LEFT(P72,9)="EXCEPTION",LEFT(S72,9)="EXCEPTION",LEFT(T72,9)="EXCEPTION"),"EXCEPTION","Clean")</f>
        <v>EXCEPTION</v>
      </c>
      <c r="V72" s="9" t="str">
        <f aca="false">IF(LEFT(M72,9)="EXCEPTION","Deprovisioning Control Gap",IF(LEFT(S72,9)="EXCEPTION","Segregation of Duties Conflict",IF(LEFT(P72,9)="EXCEPTION","Provisioning Approval Gap",IF(LEFT(T72,9)="EXCEPTION","Recertification Gap","N/A"))))</f>
        <v>Segregation of Duties Conflict</v>
      </c>
    </row>
    <row r="73" customFormat="false" ht="15" hidden="false" customHeight="true" outlineLevel="0" collapsed="false">
      <c r="A73" s="9" t="str">
        <f aca="false">Access_Grants!A73</f>
        <v>AG-0072</v>
      </c>
      <c r="B73" s="9" t="str">
        <f aca="false">Access_Grants!B73</f>
        <v>E022</v>
      </c>
      <c r="C73" s="9" t="str">
        <f aca="false">Access_Grants!C73</f>
        <v>Rahul Silva</v>
      </c>
      <c r="D73" s="9" t="str">
        <f aca="false">Access_Grants!D73</f>
        <v>Treasury</v>
      </c>
      <c r="E73" s="9" t="str">
        <f aca="false">Access_Grants!E73</f>
        <v>SYS-BANK</v>
      </c>
      <c r="F73" s="9" t="str">
        <f aca="false">Access_Grants!F73</f>
        <v>R14</v>
      </c>
      <c r="G73" s="9" t="str">
        <f aca="false">Access_Grants!G73</f>
        <v>Wire Approval / Release</v>
      </c>
      <c r="H73" s="9" t="str">
        <f aca="false">Access_Grants!H73</f>
        <v>Admin</v>
      </c>
      <c r="I73" s="9" t="str">
        <f aca="false">Access_Grants!L73</f>
        <v>Active</v>
      </c>
      <c r="J73" s="10" t="n">
        <f aca="false">Access_Grants!I73</f>
        <v>45199</v>
      </c>
      <c r="K73" s="10" t="n">
        <f aca="false">IFERROR(INDEX(HR_Employees!$F$2:$F$51,MATCH(B73,HR_Employees!$A$2:$A$51,0)),"")</f>
        <v>0</v>
      </c>
      <c r="L73" s="10" t="str">
        <f aca="false">IF(Access_Grants!M73="","",Access_Grants!M73)</f>
        <v/>
      </c>
      <c r="M73" s="9" t="str">
        <f aca="false">IF(K73="","N/A - Active Employee",IF(OR(I73="Active",AND(L73&lt;&gt;"",L73&gt;K73+5)),"EXCEPTION: TERMINATED USER - ACCESS NOT REVOKED TIMELY","OK - Revoked Within SLA"))</f>
        <v>N/A - Active Employee</v>
      </c>
      <c r="N73" s="9" t="str">
        <f aca="false">Access_Grants!J73&amp;""</f>
        <v>MGR-03</v>
      </c>
      <c r="O73" s="9" t="str">
        <f aca="false">Access_Grants!K73&amp;""</f>
        <v/>
      </c>
      <c r="P73" s="9" t="str">
        <f aca="false">IF(OR(TRIM(N73)="",TRIM(O73)=""),"EXCEPTION: NO DOCUMENTED APPROVAL","OK - Approved")</f>
        <v>EXCEPTION: NO DOCUMENTED APPROVAL</v>
      </c>
      <c r="Q73" s="9" t="str">
        <f aca="false">IFERROR(INDEX(SoD_Conflict_Matrix!$D$2:$D$7,MATCH(F73,SoD_Conflict_Matrix!$B$2:$B$7,0)),IFERROR(INDEX(SoD_Conflict_Matrix!$B$2:$B$7,MATCH(F73,SoD_Conflict_Matrix!$D$2:$D$7,0)),""))</f>
        <v>R13</v>
      </c>
      <c r="R73" s="9" t="str">
        <f aca="false">IFERROR(INDEX(SoD_Conflict_Matrix!$E$2:$E$7,MATCH(F73,SoD_Conflict_Matrix!$B$2:$B$7,0)),IFERROR(INDEX(SoD_Conflict_Matrix!$C$2:$C$7,MATCH(F73,SoD_Conflict_Matrix!$D$2:$D$7,0)),""))</f>
        <v>Wire Initiation</v>
      </c>
      <c r="S73" s="9" t="str">
        <f aca="false">IF(Q73="","No Conflict Rule Applies to This Role",IF(COUNTIFS(Access_Grants!$B$2:$B$175,B73,Access_Grants!$F$2:$F$175,Q73,Access_Grants!$L$2:$L$175,"Active")&gt;0,"EXCEPTION: SoD CONFLICT - ALSO HOLDS "&amp;R73,"OK - No Conflicting Role Held"))</f>
        <v>EXCEPTION: SoD CONFLICT - ALSO HOLDS Wire Initiation</v>
      </c>
      <c r="T73" s="9" t="str">
        <f aca="false">IF(AND(H73="Admin",I73="Active"),IF(COUNTIFS(Recertifications!$B$2:$B$119,B73,Recertifications!$E$2:$E$119,F73,Recertifications!$K$2:$K$119,"&lt;&gt;")&gt;0,"OK - Recertified","EXCEPTION: PRIVILEGED ACCESS NEVER RECERTIFIED"),"N/A - Not Privileged")</f>
        <v>EXCEPTION: PRIVILEGED ACCESS NEVER RECERTIFIED</v>
      </c>
      <c r="U73" s="9" t="str">
        <f aca="false">IF(OR(LEFT(M73,9)="EXCEPTION",LEFT(P73,9)="EXCEPTION",LEFT(S73,9)="EXCEPTION",LEFT(T73,9)="EXCEPTION"),"EXCEPTION","Clean")</f>
        <v>EXCEPTION</v>
      </c>
      <c r="V73" s="9" t="str">
        <f aca="false">IF(LEFT(M73,9)="EXCEPTION","Deprovisioning Control Gap",IF(LEFT(S73,9)="EXCEPTION","Segregation of Duties Conflict",IF(LEFT(P73,9)="EXCEPTION","Provisioning Approval Gap",IF(LEFT(T73,9)="EXCEPTION","Recertification Gap","N/A"))))</f>
        <v>Segregation of Duties Conflict</v>
      </c>
    </row>
    <row r="74" customFormat="false" ht="15" hidden="false" customHeight="true" outlineLevel="0" collapsed="false">
      <c r="A74" s="9" t="str">
        <f aca="false">Access_Grants!A74</f>
        <v>AG-0073</v>
      </c>
      <c r="B74" s="9" t="str">
        <f aca="false">Access_Grants!B74</f>
        <v>E022</v>
      </c>
      <c r="C74" s="9" t="str">
        <f aca="false">Access_Grants!C74</f>
        <v>Rahul Silva</v>
      </c>
      <c r="D74" s="9" t="str">
        <f aca="false">Access_Grants!D74</f>
        <v>Treasury</v>
      </c>
      <c r="E74" s="9" t="str">
        <f aca="false">Access_Grants!E74</f>
        <v>SYS-HRIS</v>
      </c>
      <c r="F74" s="9" t="str">
        <f aca="false">Access_Grants!F74</f>
        <v>R08</v>
      </c>
      <c r="G74" s="9" t="str">
        <f aca="false">Access_Grants!G74</f>
        <v>Employee Master Read-Only</v>
      </c>
      <c r="H74" s="9" t="str">
        <f aca="false">Access_Grants!H74</f>
        <v>Read</v>
      </c>
      <c r="I74" s="9" t="str">
        <f aca="false">Access_Grants!L74</f>
        <v>Active</v>
      </c>
      <c r="J74" s="10" t="n">
        <f aca="false">Access_Grants!I74</f>
        <v>45509</v>
      </c>
      <c r="K74" s="10" t="n">
        <f aca="false">IFERROR(INDEX(HR_Employees!$F$2:$F$51,MATCH(B74,HR_Employees!$A$2:$A$51,0)),"")</f>
        <v>0</v>
      </c>
      <c r="L74" s="10" t="str">
        <f aca="false">IF(Access_Grants!M74="","",Access_Grants!M74)</f>
        <v/>
      </c>
      <c r="M74" s="9" t="str">
        <f aca="false">IF(K74="","N/A - Active Employee",IF(OR(I74="Active",AND(L74&lt;&gt;"",L74&gt;K74+5)),"EXCEPTION: TERMINATED USER - ACCESS NOT REVOKED TIMELY","OK - Revoked Within SLA"))</f>
        <v>N/A - Active Employee</v>
      </c>
      <c r="N74" s="9" t="str">
        <f aca="false">Access_Grants!J74&amp;""</f>
        <v>MGR-05</v>
      </c>
      <c r="O74" s="9" t="str">
        <f aca="false">Access_Grants!K74&amp;""</f>
        <v>CHG-67560</v>
      </c>
      <c r="P74" s="9" t="str">
        <f aca="false">IF(OR(TRIM(N74)="",TRIM(O74)=""),"EXCEPTION: NO DOCUMENTED APPROVAL","OK - Approved")</f>
        <v>OK - Approved</v>
      </c>
      <c r="Q74" s="9" t="str">
        <f aca="false">IFERROR(INDEX(SoD_Conflict_Matrix!$D$2:$D$7,MATCH(F74,SoD_Conflict_Matrix!$B$2:$B$7,0)),IFERROR(INDEX(SoD_Conflict_Matrix!$B$2:$B$7,MATCH(F74,SoD_Conflict_Matrix!$D$2:$D$7,0)),""))</f>
        <v/>
      </c>
      <c r="R74" s="9" t="str">
        <f aca="false">IFERROR(INDEX(SoD_Conflict_Matrix!$E$2:$E$7,MATCH(F74,SoD_Conflict_Matrix!$B$2:$B$7,0)),IFERROR(INDEX(SoD_Conflict_Matrix!$C$2:$C$7,MATCH(F74,SoD_Conflict_Matrix!$D$2:$D$7,0)),""))</f>
        <v/>
      </c>
      <c r="S74" s="9" t="str">
        <f aca="false">IF(Q74="","No Conflict Rule Applies to This Role",IF(COUNTIFS(Access_Grants!$B$2:$B$175,B74,Access_Grants!$F$2:$F$175,Q74,Access_Grants!$L$2:$L$175,"Active")&gt;0,"EXCEPTION: SoD CONFLICT - ALSO HOLDS "&amp;R74,"OK - No Conflicting Role Held"))</f>
        <v>No Conflict Rule Applies to This Role</v>
      </c>
      <c r="T74" s="9" t="str">
        <f aca="false">IF(AND(H74="Admin",I74="Active"),IF(COUNTIFS(Recertifications!$B$2:$B$119,B74,Recertifications!$E$2:$E$119,F74,Recertifications!$K$2:$K$119,"&lt;&gt;")&gt;0,"OK - Recertified","EXCEPTION: PRIVILEGED ACCESS NEVER RECERTIFIED"),"N/A - Not Privileged")</f>
        <v>N/A - Not Privileged</v>
      </c>
      <c r="U74" s="9" t="str">
        <f aca="false">IF(OR(LEFT(M74,9)="EXCEPTION",LEFT(P74,9)="EXCEPTION",LEFT(S74,9)="EXCEPTION",LEFT(T74,9)="EXCEPTION"),"EXCEPTION","Clean")</f>
        <v>Clean</v>
      </c>
      <c r="V74" s="9" t="str">
        <f aca="false">IF(LEFT(M74,9)="EXCEPTION","Deprovisioning Control Gap",IF(LEFT(S74,9)="EXCEPTION","Segregation of Duties Conflict",IF(LEFT(P74,9)="EXCEPTION","Provisioning Approval Gap",IF(LEFT(T74,9)="EXCEPTION","Recertification Gap","N/A"))))</f>
        <v>N/A</v>
      </c>
    </row>
    <row r="75" customFormat="false" ht="15" hidden="false" customHeight="true" outlineLevel="0" collapsed="false">
      <c r="A75" s="9" t="str">
        <f aca="false">Access_Grants!A75</f>
        <v>AG-0074</v>
      </c>
      <c r="B75" s="9" t="str">
        <f aca="false">Access_Grants!B75</f>
        <v>E022</v>
      </c>
      <c r="C75" s="9" t="str">
        <f aca="false">Access_Grants!C75</f>
        <v>Rahul Silva</v>
      </c>
      <c r="D75" s="9" t="str">
        <f aca="false">Access_Grants!D75</f>
        <v>Treasury</v>
      </c>
      <c r="E75" s="9" t="str">
        <f aca="false">Access_Grants!E75</f>
        <v>SYS-AD</v>
      </c>
      <c r="F75" s="9" t="str">
        <f aca="false">Access_Grants!F75</f>
        <v>R09</v>
      </c>
      <c r="G75" s="9" t="str">
        <f aca="false">Access_Grants!G75</f>
        <v>Standard Network User</v>
      </c>
      <c r="H75" s="9" t="str">
        <f aca="false">Access_Grants!H75</f>
        <v>Read</v>
      </c>
      <c r="I75" s="9" t="str">
        <f aca="false">Access_Grants!L75</f>
        <v>Active</v>
      </c>
      <c r="J75" s="10" t="n">
        <f aca="false">Access_Grants!I75</f>
        <v>45339</v>
      </c>
      <c r="K75" s="10" t="n">
        <f aca="false">IFERROR(INDEX(HR_Employees!$F$2:$F$51,MATCH(B75,HR_Employees!$A$2:$A$51,0)),"")</f>
        <v>0</v>
      </c>
      <c r="L75" s="10" t="str">
        <f aca="false">IF(Access_Grants!M75="","",Access_Grants!M75)</f>
        <v/>
      </c>
      <c r="M75" s="9" t="str">
        <f aca="false">IF(K75="","N/A - Active Employee",IF(OR(I75="Active",AND(L75&lt;&gt;"",L75&gt;K75+5)),"EXCEPTION: TERMINATED USER - ACCESS NOT REVOKED TIMELY","OK - Revoked Within SLA"))</f>
        <v>N/A - Active Employee</v>
      </c>
      <c r="N75" s="9" t="str">
        <f aca="false">Access_Grants!J75&amp;""</f>
        <v>MGR-05</v>
      </c>
      <c r="O75" s="9" t="str">
        <f aca="false">Access_Grants!K75&amp;""</f>
        <v>CHG-75597</v>
      </c>
      <c r="P75" s="9" t="str">
        <f aca="false">IF(OR(TRIM(N75)="",TRIM(O75)=""),"EXCEPTION: NO DOCUMENTED APPROVAL","OK - Approved")</f>
        <v>OK - Approved</v>
      </c>
      <c r="Q75" s="9" t="str">
        <f aca="false">IFERROR(INDEX(SoD_Conflict_Matrix!$D$2:$D$7,MATCH(F75,SoD_Conflict_Matrix!$B$2:$B$7,0)),IFERROR(INDEX(SoD_Conflict_Matrix!$B$2:$B$7,MATCH(F75,SoD_Conflict_Matrix!$D$2:$D$7,0)),""))</f>
        <v/>
      </c>
      <c r="R75" s="9" t="str">
        <f aca="false">IFERROR(INDEX(SoD_Conflict_Matrix!$E$2:$E$7,MATCH(F75,SoD_Conflict_Matrix!$B$2:$B$7,0)),IFERROR(INDEX(SoD_Conflict_Matrix!$C$2:$C$7,MATCH(F75,SoD_Conflict_Matrix!$D$2:$D$7,0)),""))</f>
        <v/>
      </c>
      <c r="S75" s="9" t="str">
        <f aca="false">IF(Q75="","No Conflict Rule Applies to This Role",IF(COUNTIFS(Access_Grants!$B$2:$B$175,B75,Access_Grants!$F$2:$F$175,Q75,Access_Grants!$L$2:$L$175,"Active")&gt;0,"EXCEPTION: SoD CONFLICT - ALSO HOLDS "&amp;R75,"OK - No Conflicting Role Held"))</f>
        <v>No Conflict Rule Applies to This Role</v>
      </c>
      <c r="T75" s="9" t="str">
        <f aca="false">IF(AND(H75="Admin",I75="Active"),IF(COUNTIFS(Recertifications!$B$2:$B$119,B75,Recertifications!$E$2:$E$119,F75,Recertifications!$K$2:$K$119,"&lt;&gt;")&gt;0,"OK - Recertified","EXCEPTION: PRIVILEGED ACCESS NEVER RECERTIFIED"),"N/A - Not Privileged")</f>
        <v>N/A - Not Privileged</v>
      </c>
      <c r="U75" s="9" t="str">
        <f aca="false">IF(OR(LEFT(M75,9)="EXCEPTION",LEFT(P75,9)="EXCEPTION",LEFT(S75,9)="EXCEPTION",LEFT(T75,9)="EXCEPTION"),"EXCEPTION","Clean")</f>
        <v>Clean</v>
      </c>
      <c r="V75" s="9" t="str">
        <f aca="false">IF(LEFT(M75,9)="EXCEPTION","Deprovisioning Control Gap",IF(LEFT(S75,9)="EXCEPTION","Segregation of Duties Conflict",IF(LEFT(P75,9)="EXCEPTION","Provisioning Approval Gap",IF(LEFT(T75,9)="EXCEPTION","Recertification Gap","N/A"))))</f>
        <v>N/A</v>
      </c>
    </row>
    <row r="76" customFormat="false" ht="15" hidden="false" customHeight="true" outlineLevel="0" collapsed="false">
      <c r="A76" s="9" t="str">
        <f aca="false">Access_Grants!A76</f>
        <v>AG-0075</v>
      </c>
      <c r="B76" s="9" t="str">
        <f aca="false">Access_Grants!B76</f>
        <v>E022</v>
      </c>
      <c r="C76" s="9" t="str">
        <f aca="false">Access_Grants!C76</f>
        <v>Rahul Silva</v>
      </c>
      <c r="D76" s="9" t="str">
        <f aca="false">Access_Grants!D76</f>
        <v>Treasury</v>
      </c>
      <c r="E76" s="9" t="str">
        <f aca="false">Access_Grants!E76</f>
        <v>SYS-BANK</v>
      </c>
      <c r="F76" s="9" t="str">
        <f aca="false">Access_Grants!F76</f>
        <v>R13</v>
      </c>
      <c r="G76" s="9" t="str">
        <f aca="false">Access_Grants!G76</f>
        <v>Wire Initiation</v>
      </c>
      <c r="H76" s="9" t="str">
        <f aca="false">Access_Grants!H76</f>
        <v>Write</v>
      </c>
      <c r="I76" s="9" t="str">
        <f aca="false">Access_Grants!L76</f>
        <v>Active</v>
      </c>
      <c r="J76" s="10" t="n">
        <f aca="false">Access_Grants!I76</f>
        <v>45539</v>
      </c>
      <c r="K76" s="10" t="n">
        <f aca="false">IFERROR(INDEX(HR_Employees!$F$2:$F$51,MATCH(B76,HR_Employees!$A$2:$A$51,0)),"")</f>
        <v>0</v>
      </c>
      <c r="L76" s="10" t="str">
        <f aca="false">IF(Access_Grants!M76="","",Access_Grants!M76)</f>
        <v/>
      </c>
      <c r="M76" s="9" t="str">
        <f aca="false">IF(K76="","N/A - Active Employee",IF(OR(I76="Active",AND(L76&lt;&gt;"",L76&gt;K76+5)),"EXCEPTION: TERMINATED USER - ACCESS NOT REVOKED TIMELY","OK - Revoked Within SLA"))</f>
        <v>N/A - Active Employee</v>
      </c>
      <c r="N76" s="9" t="str">
        <f aca="false">Access_Grants!J76&amp;""</f>
        <v>MGR-01</v>
      </c>
      <c r="O76" s="9" t="str">
        <f aca="false">Access_Grants!K76&amp;""</f>
        <v>CHG-66626</v>
      </c>
      <c r="P76" s="9" t="str">
        <f aca="false">IF(OR(TRIM(N76)="",TRIM(O76)=""),"EXCEPTION: NO DOCUMENTED APPROVAL","OK - Approved")</f>
        <v>OK - Approved</v>
      </c>
      <c r="Q76" s="9" t="str">
        <f aca="false">IFERROR(INDEX(SoD_Conflict_Matrix!$D$2:$D$7,MATCH(F76,SoD_Conflict_Matrix!$B$2:$B$7,0)),IFERROR(INDEX(SoD_Conflict_Matrix!$B$2:$B$7,MATCH(F76,SoD_Conflict_Matrix!$D$2:$D$7,0)),""))</f>
        <v>R14</v>
      </c>
      <c r="R76" s="9" t="str">
        <f aca="false">IFERROR(INDEX(SoD_Conflict_Matrix!$E$2:$E$7,MATCH(F76,SoD_Conflict_Matrix!$B$2:$B$7,0)),IFERROR(INDEX(SoD_Conflict_Matrix!$C$2:$C$7,MATCH(F76,SoD_Conflict_Matrix!$D$2:$D$7,0)),""))</f>
        <v>Wire Approval / Release</v>
      </c>
      <c r="S76" s="9" t="str">
        <f aca="false">IF(Q76="","No Conflict Rule Applies to This Role",IF(COUNTIFS(Access_Grants!$B$2:$B$175,B76,Access_Grants!$F$2:$F$175,Q76,Access_Grants!$L$2:$L$175,"Active")&gt;0,"EXCEPTION: SoD CONFLICT - ALSO HOLDS "&amp;R76,"OK - No Conflicting Role Held"))</f>
        <v>EXCEPTION: SoD CONFLICT - ALSO HOLDS Wire Approval / Release</v>
      </c>
      <c r="T76" s="9" t="str">
        <f aca="false">IF(AND(H76="Admin",I76="Active"),IF(COUNTIFS(Recertifications!$B$2:$B$119,B76,Recertifications!$E$2:$E$119,F76,Recertifications!$K$2:$K$119,"&lt;&gt;")&gt;0,"OK - Recertified","EXCEPTION: PRIVILEGED ACCESS NEVER RECERTIFIED"),"N/A - Not Privileged")</f>
        <v>N/A - Not Privileged</v>
      </c>
      <c r="U76" s="9" t="str">
        <f aca="false">IF(OR(LEFT(M76,9)="EXCEPTION",LEFT(P76,9)="EXCEPTION",LEFT(S76,9)="EXCEPTION",LEFT(T76,9)="EXCEPTION"),"EXCEPTION","Clean")</f>
        <v>EXCEPTION</v>
      </c>
      <c r="V76" s="9" t="str">
        <f aca="false">IF(LEFT(M76,9)="EXCEPTION","Deprovisioning Control Gap",IF(LEFT(S76,9)="EXCEPTION","Segregation of Duties Conflict",IF(LEFT(P76,9)="EXCEPTION","Provisioning Approval Gap",IF(LEFT(T76,9)="EXCEPTION","Recertification Gap","N/A"))))</f>
        <v>Segregation of Duties Conflict</v>
      </c>
    </row>
    <row r="77" customFormat="false" ht="15" hidden="false" customHeight="true" outlineLevel="0" collapsed="false">
      <c r="A77" s="9" t="str">
        <f aca="false">Access_Grants!A77</f>
        <v>AG-0076</v>
      </c>
      <c r="B77" s="9" t="str">
        <f aca="false">Access_Grants!B77</f>
        <v>E023</v>
      </c>
      <c r="C77" s="9" t="str">
        <f aca="false">Access_Grants!C77</f>
        <v>Youssef Andersson</v>
      </c>
      <c r="D77" s="9" t="str">
        <f aca="false">Access_Grants!D77</f>
        <v>Customer Service</v>
      </c>
      <c r="E77" s="9" t="str">
        <f aca="false">Access_Grants!E77</f>
        <v>SYS-AD</v>
      </c>
      <c r="F77" s="9" t="str">
        <f aca="false">Access_Grants!F77</f>
        <v>R09</v>
      </c>
      <c r="G77" s="9" t="str">
        <f aca="false">Access_Grants!G77</f>
        <v>Standard Network User</v>
      </c>
      <c r="H77" s="9" t="str">
        <f aca="false">Access_Grants!H77</f>
        <v>Read</v>
      </c>
      <c r="I77" s="9" t="str">
        <f aca="false">Access_Grants!L77</f>
        <v>Revoked</v>
      </c>
      <c r="J77" s="10" t="n">
        <f aca="false">Access_Grants!I77</f>
        <v>45034</v>
      </c>
      <c r="K77" s="10" t="n">
        <f aca="false">IFERROR(INDEX(HR_Employees!$F$2:$F$51,MATCH(B77,HR_Employees!$A$2:$A$51,0)),"")</f>
        <v>46029</v>
      </c>
      <c r="L77" s="10" t="n">
        <f aca="false">IF(Access_Grants!M77="","",Access_Grants!M77)</f>
        <v>46034</v>
      </c>
      <c r="M77" s="9" t="str">
        <f aca="false">IF(K77="","N/A - Active Employee",IF(OR(I77="Active",AND(L77&lt;&gt;"",L77&gt;K77+5)),"EXCEPTION: TERMINATED USER - ACCESS NOT REVOKED TIMELY","OK - Revoked Within SLA"))</f>
        <v>OK - Revoked Within SLA</v>
      </c>
      <c r="N77" s="9" t="str">
        <f aca="false">Access_Grants!J77&amp;""</f>
        <v>MGR-10</v>
      </c>
      <c r="O77" s="9" t="str">
        <f aca="false">Access_Grants!K77&amp;""</f>
        <v>CHG-86955</v>
      </c>
      <c r="P77" s="9" t="str">
        <f aca="false">IF(OR(TRIM(N77)="",TRIM(O77)=""),"EXCEPTION: NO DOCUMENTED APPROVAL","OK - Approved")</f>
        <v>OK - Approved</v>
      </c>
      <c r="Q77" s="9" t="str">
        <f aca="false">IFERROR(INDEX(SoD_Conflict_Matrix!$D$2:$D$7,MATCH(F77,SoD_Conflict_Matrix!$B$2:$B$7,0)),IFERROR(INDEX(SoD_Conflict_Matrix!$B$2:$B$7,MATCH(F77,SoD_Conflict_Matrix!$D$2:$D$7,0)),""))</f>
        <v/>
      </c>
      <c r="R77" s="9" t="str">
        <f aca="false">IFERROR(INDEX(SoD_Conflict_Matrix!$E$2:$E$7,MATCH(F77,SoD_Conflict_Matrix!$B$2:$B$7,0)),IFERROR(INDEX(SoD_Conflict_Matrix!$C$2:$C$7,MATCH(F77,SoD_Conflict_Matrix!$D$2:$D$7,0)),""))</f>
        <v/>
      </c>
      <c r="S77" s="9" t="str">
        <f aca="false">IF(Q77="","No Conflict Rule Applies to This Role",IF(COUNTIFS(Access_Grants!$B$2:$B$175,B77,Access_Grants!$F$2:$F$175,Q77,Access_Grants!$L$2:$L$175,"Active")&gt;0,"EXCEPTION: SoD CONFLICT - ALSO HOLDS "&amp;R77,"OK - No Conflicting Role Held"))</f>
        <v>No Conflict Rule Applies to This Role</v>
      </c>
      <c r="T77" s="9" t="str">
        <f aca="false">IF(AND(H77="Admin",I77="Active"),IF(COUNTIFS(Recertifications!$B$2:$B$119,B77,Recertifications!$E$2:$E$119,F77,Recertifications!$K$2:$K$119,"&lt;&gt;")&gt;0,"OK - Recertified","EXCEPTION: PRIVILEGED ACCESS NEVER RECERTIFIED"),"N/A - Not Privileged")</f>
        <v>N/A - Not Privileged</v>
      </c>
      <c r="U77" s="9" t="str">
        <f aca="false">IF(OR(LEFT(M77,9)="EXCEPTION",LEFT(P77,9)="EXCEPTION",LEFT(S77,9)="EXCEPTION",LEFT(T77,9)="EXCEPTION"),"EXCEPTION","Clean")</f>
        <v>Clean</v>
      </c>
      <c r="V77" s="9" t="str">
        <f aca="false">IF(LEFT(M77,9)="EXCEPTION","Deprovisioning Control Gap",IF(LEFT(S77,9)="EXCEPTION","Segregation of Duties Conflict",IF(LEFT(P77,9)="EXCEPTION","Provisioning Approval Gap",IF(LEFT(T77,9)="EXCEPTION","Recertification Gap","N/A"))))</f>
        <v>N/A</v>
      </c>
    </row>
    <row r="78" customFormat="false" ht="15" hidden="false" customHeight="true" outlineLevel="0" collapsed="false">
      <c r="A78" s="9" t="str">
        <f aca="false">Access_Grants!A78</f>
        <v>AG-0077</v>
      </c>
      <c r="B78" s="9" t="str">
        <f aca="false">Access_Grants!B78</f>
        <v>E023</v>
      </c>
      <c r="C78" s="9" t="str">
        <f aca="false">Access_Grants!C78</f>
        <v>Youssef Andersson</v>
      </c>
      <c r="D78" s="9" t="str">
        <f aca="false">Access_Grants!D78</f>
        <v>Customer Service</v>
      </c>
      <c r="E78" s="9" t="str">
        <f aca="false">Access_Grants!E78</f>
        <v>SYS-HRIS</v>
      </c>
      <c r="F78" s="9" t="str">
        <f aca="false">Access_Grants!F78</f>
        <v>R08</v>
      </c>
      <c r="G78" s="9" t="str">
        <f aca="false">Access_Grants!G78</f>
        <v>Employee Master Read-Only</v>
      </c>
      <c r="H78" s="9" t="str">
        <f aca="false">Access_Grants!H78</f>
        <v>Read</v>
      </c>
      <c r="I78" s="9" t="str">
        <f aca="false">Access_Grants!L78</f>
        <v>Revoked</v>
      </c>
      <c r="J78" s="10" t="n">
        <f aca="false">Access_Grants!I78</f>
        <v>45032</v>
      </c>
      <c r="K78" s="10" t="n">
        <f aca="false">IFERROR(INDEX(HR_Employees!$F$2:$F$51,MATCH(B78,HR_Employees!$A$2:$A$51,0)),"")</f>
        <v>46029</v>
      </c>
      <c r="L78" s="10" t="n">
        <f aca="false">IF(Access_Grants!M78="","",Access_Grants!M78)</f>
        <v>46034</v>
      </c>
      <c r="M78" s="9" t="str">
        <f aca="false">IF(K78="","N/A - Active Employee",IF(OR(I78="Active",AND(L78&lt;&gt;"",L78&gt;K78+5)),"EXCEPTION: TERMINATED USER - ACCESS NOT REVOKED TIMELY","OK - Revoked Within SLA"))</f>
        <v>OK - Revoked Within SLA</v>
      </c>
      <c r="N78" s="9" t="str">
        <f aca="false">Access_Grants!J78&amp;""</f>
        <v>MGR-05</v>
      </c>
      <c r="O78" s="9" t="str">
        <f aca="false">Access_Grants!K78&amp;""</f>
        <v/>
      </c>
      <c r="P78" s="9" t="str">
        <f aca="false">IF(OR(TRIM(N78)="",TRIM(O78)=""),"EXCEPTION: NO DOCUMENTED APPROVAL","OK - Approved")</f>
        <v>EXCEPTION: NO DOCUMENTED APPROVAL</v>
      </c>
      <c r="Q78" s="9" t="str">
        <f aca="false">IFERROR(INDEX(SoD_Conflict_Matrix!$D$2:$D$7,MATCH(F78,SoD_Conflict_Matrix!$B$2:$B$7,0)),IFERROR(INDEX(SoD_Conflict_Matrix!$B$2:$B$7,MATCH(F78,SoD_Conflict_Matrix!$D$2:$D$7,0)),""))</f>
        <v/>
      </c>
      <c r="R78" s="9" t="str">
        <f aca="false">IFERROR(INDEX(SoD_Conflict_Matrix!$E$2:$E$7,MATCH(F78,SoD_Conflict_Matrix!$B$2:$B$7,0)),IFERROR(INDEX(SoD_Conflict_Matrix!$C$2:$C$7,MATCH(F78,SoD_Conflict_Matrix!$D$2:$D$7,0)),""))</f>
        <v/>
      </c>
      <c r="S78" s="9" t="str">
        <f aca="false">IF(Q78="","No Conflict Rule Applies to This Role",IF(COUNTIFS(Access_Grants!$B$2:$B$175,B78,Access_Grants!$F$2:$F$175,Q78,Access_Grants!$L$2:$L$175,"Active")&gt;0,"EXCEPTION: SoD CONFLICT - ALSO HOLDS "&amp;R78,"OK - No Conflicting Role Held"))</f>
        <v>No Conflict Rule Applies to This Role</v>
      </c>
      <c r="T78" s="9" t="str">
        <f aca="false">IF(AND(H78="Admin",I78="Active"),IF(COUNTIFS(Recertifications!$B$2:$B$119,B78,Recertifications!$E$2:$E$119,F78,Recertifications!$K$2:$K$119,"&lt;&gt;")&gt;0,"OK - Recertified","EXCEPTION: PRIVILEGED ACCESS NEVER RECERTIFIED"),"N/A - Not Privileged")</f>
        <v>N/A - Not Privileged</v>
      </c>
      <c r="U78" s="9" t="str">
        <f aca="false">IF(OR(LEFT(M78,9)="EXCEPTION",LEFT(P78,9)="EXCEPTION",LEFT(S78,9)="EXCEPTION",LEFT(T78,9)="EXCEPTION"),"EXCEPTION","Clean")</f>
        <v>EXCEPTION</v>
      </c>
      <c r="V78" s="9" t="str">
        <f aca="false">IF(LEFT(M78,9)="EXCEPTION","Deprovisioning Control Gap",IF(LEFT(S78,9)="EXCEPTION","Segregation of Duties Conflict",IF(LEFT(P78,9)="EXCEPTION","Provisioning Approval Gap",IF(LEFT(T78,9)="EXCEPTION","Recertification Gap","N/A"))))</f>
        <v>Provisioning Approval Gap</v>
      </c>
    </row>
    <row r="79" customFormat="false" ht="15" hidden="false" customHeight="true" outlineLevel="0" collapsed="false">
      <c r="A79" s="9" t="str">
        <f aca="false">Access_Grants!A79</f>
        <v>AG-0078</v>
      </c>
      <c r="B79" s="9" t="str">
        <f aca="false">Access_Grants!B79</f>
        <v>E024</v>
      </c>
      <c r="C79" s="9" t="str">
        <f aca="false">Access_Grants!C79</f>
        <v>Priya Rossi</v>
      </c>
      <c r="D79" s="9" t="str">
        <f aca="false">Access_Grants!D79</f>
        <v>Accounts Payable</v>
      </c>
      <c r="E79" s="9" t="str">
        <f aca="false">Access_Grants!E79</f>
        <v>SYS-HRIS</v>
      </c>
      <c r="F79" s="9" t="str">
        <f aca="false">Access_Grants!F79</f>
        <v>R08</v>
      </c>
      <c r="G79" s="9" t="str">
        <f aca="false">Access_Grants!G79</f>
        <v>Employee Master Read-Only</v>
      </c>
      <c r="H79" s="9" t="str">
        <f aca="false">Access_Grants!H79</f>
        <v>Read</v>
      </c>
      <c r="I79" s="9" t="str">
        <f aca="false">Access_Grants!L79</f>
        <v>Active</v>
      </c>
      <c r="J79" s="10" t="n">
        <f aca="false">Access_Grants!I79</f>
        <v>45178</v>
      </c>
      <c r="K79" s="10" t="n">
        <f aca="false">IFERROR(INDEX(HR_Employees!$F$2:$F$51,MATCH(B79,HR_Employees!$A$2:$A$51,0)),"")</f>
        <v>0</v>
      </c>
      <c r="L79" s="10" t="str">
        <f aca="false">IF(Access_Grants!M79="","",Access_Grants!M79)</f>
        <v/>
      </c>
      <c r="M79" s="9" t="str">
        <f aca="false">IF(K79="","N/A - Active Employee",IF(OR(I79="Active",AND(L79&lt;&gt;"",L79&gt;K79+5)),"EXCEPTION: TERMINATED USER - ACCESS NOT REVOKED TIMELY","OK - Revoked Within SLA"))</f>
        <v>N/A - Active Employee</v>
      </c>
      <c r="N79" s="9" t="str">
        <f aca="false">Access_Grants!J79&amp;""</f>
        <v>MGR-02</v>
      </c>
      <c r="O79" s="9" t="str">
        <f aca="false">Access_Grants!K79&amp;""</f>
        <v>CHG-71605</v>
      </c>
      <c r="P79" s="9" t="str">
        <f aca="false">IF(OR(TRIM(N79)="",TRIM(O79)=""),"EXCEPTION: NO DOCUMENTED APPROVAL","OK - Approved")</f>
        <v>OK - Approved</v>
      </c>
      <c r="Q79" s="9" t="str">
        <f aca="false">IFERROR(INDEX(SoD_Conflict_Matrix!$D$2:$D$7,MATCH(F79,SoD_Conflict_Matrix!$B$2:$B$7,0)),IFERROR(INDEX(SoD_Conflict_Matrix!$B$2:$B$7,MATCH(F79,SoD_Conflict_Matrix!$D$2:$D$7,0)),""))</f>
        <v/>
      </c>
      <c r="R79" s="9" t="str">
        <f aca="false">IFERROR(INDEX(SoD_Conflict_Matrix!$E$2:$E$7,MATCH(F79,SoD_Conflict_Matrix!$B$2:$B$7,0)),IFERROR(INDEX(SoD_Conflict_Matrix!$C$2:$C$7,MATCH(F79,SoD_Conflict_Matrix!$D$2:$D$7,0)),""))</f>
        <v/>
      </c>
      <c r="S79" s="9" t="str">
        <f aca="false">IF(Q79="","No Conflict Rule Applies to This Role",IF(COUNTIFS(Access_Grants!$B$2:$B$175,B79,Access_Grants!$F$2:$F$175,Q79,Access_Grants!$L$2:$L$175,"Active")&gt;0,"EXCEPTION: SoD CONFLICT - ALSO HOLDS "&amp;R79,"OK - No Conflicting Role Held"))</f>
        <v>No Conflict Rule Applies to This Role</v>
      </c>
      <c r="T79" s="9" t="str">
        <f aca="false">IF(AND(H79="Admin",I79="Active"),IF(COUNTIFS(Recertifications!$B$2:$B$119,B79,Recertifications!$E$2:$E$119,F79,Recertifications!$K$2:$K$119,"&lt;&gt;")&gt;0,"OK - Recertified","EXCEPTION: PRIVILEGED ACCESS NEVER RECERTIFIED"),"N/A - Not Privileged")</f>
        <v>N/A - Not Privileged</v>
      </c>
      <c r="U79" s="9" t="str">
        <f aca="false">IF(OR(LEFT(M79,9)="EXCEPTION",LEFT(P79,9)="EXCEPTION",LEFT(S79,9)="EXCEPTION",LEFT(T79,9)="EXCEPTION"),"EXCEPTION","Clean")</f>
        <v>Clean</v>
      </c>
      <c r="V79" s="9" t="str">
        <f aca="false">IF(LEFT(M79,9)="EXCEPTION","Deprovisioning Control Gap",IF(LEFT(S79,9)="EXCEPTION","Segregation of Duties Conflict",IF(LEFT(P79,9)="EXCEPTION","Provisioning Approval Gap",IF(LEFT(T79,9)="EXCEPTION","Recertification Gap","N/A"))))</f>
        <v>N/A</v>
      </c>
    </row>
    <row r="80" customFormat="false" ht="15" hidden="false" customHeight="true" outlineLevel="0" collapsed="false">
      <c r="A80" s="9" t="str">
        <f aca="false">Access_Grants!A80</f>
        <v>AG-0079</v>
      </c>
      <c r="B80" s="9" t="str">
        <f aca="false">Access_Grants!B80</f>
        <v>E024</v>
      </c>
      <c r="C80" s="9" t="str">
        <f aca="false">Access_Grants!C80</f>
        <v>Priya Rossi</v>
      </c>
      <c r="D80" s="9" t="str">
        <f aca="false">Access_Grants!D80</f>
        <v>Accounts Payable</v>
      </c>
      <c r="E80" s="9" t="str">
        <f aca="false">Access_Grants!E80</f>
        <v>SYS-AD</v>
      </c>
      <c r="F80" s="9" t="str">
        <f aca="false">Access_Grants!F80</f>
        <v>R09</v>
      </c>
      <c r="G80" s="9" t="str">
        <f aca="false">Access_Grants!G80</f>
        <v>Standard Network User</v>
      </c>
      <c r="H80" s="9" t="str">
        <f aca="false">Access_Grants!H80</f>
        <v>Read</v>
      </c>
      <c r="I80" s="9" t="str">
        <f aca="false">Access_Grants!L80</f>
        <v>Active</v>
      </c>
      <c r="J80" s="10" t="n">
        <f aca="false">Access_Grants!I80</f>
        <v>45270</v>
      </c>
      <c r="K80" s="10" t="n">
        <f aca="false">IFERROR(INDEX(HR_Employees!$F$2:$F$51,MATCH(B80,HR_Employees!$A$2:$A$51,0)),"")</f>
        <v>0</v>
      </c>
      <c r="L80" s="10" t="str">
        <f aca="false">IF(Access_Grants!M80="","",Access_Grants!M80)</f>
        <v/>
      </c>
      <c r="M80" s="9" t="str">
        <f aca="false">IF(K80="","N/A - Active Employee",IF(OR(I80="Active",AND(L80&lt;&gt;"",L80&gt;K80+5)),"EXCEPTION: TERMINATED USER - ACCESS NOT REVOKED TIMELY","OK - Revoked Within SLA"))</f>
        <v>N/A - Active Employee</v>
      </c>
      <c r="N80" s="9" t="str">
        <f aca="false">Access_Grants!J80&amp;""</f>
        <v>MGR-02</v>
      </c>
      <c r="O80" s="9" t="str">
        <f aca="false">Access_Grants!K80&amp;""</f>
        <v>CHG-31079</v>
      </c>
      <c r="P80" s="9" t="str">
        <f aca="false">IF(OR(TRIM(N80)="",TRIM(O80)=""),"EXCEPTION: NO DOCUMENTED APPROVAL","OK - Approved")</f>
        <v>OK - Approved</v>
      </c>
      <c r="Q80" s="9" t="str">
        <f aca="false">IFERROR(INDEX(SoD_Conflict_Matrix!$D$2:$D$7,MATCH(F80,SoD_Conflict_Matrix!$B$2:$B$7,0)),IFERROR(INDEX(SoD_Conflict_Matrix!$B$2:$B$7,MATCH(F80,SoD_Conflict_Matrix!$D$2:$D$7,0)),""))</f>
        <v/>
      </c>
      <c r="R80" s="9" t="str">
        <f aca="false">IFERROR(INDEX(SoD_Conflict_Matrix!$E$2:$E$7,MATCH(F80,SoD_Conflict_Matrix!$B$2:$B$7,0)),IFERROR(INDEX(SoD_Conflict_Matrix!$C$2:$C$7,MATCH(F80,SoD_Conflict_Matrix!$D$2:$D$7,0)),""))</f>
        <v/>
      </c>
      <c r="S80" s="9" t="str">
        <f aca="false">IF(Q80="","No Conflict Rule Applies to This Role",IF(COUNTIFS(Access_Grants!$B$2:$B$175,B80,Access_Grants!$F$2:$F$175,Q80,Access_Grants!$L$2:$L$175,"Active")&gt;0,"EXCEPTION: SoD CONFLICT - ALSO HOLDS "&amp;R80,"OK - No Conflicting Role Held"))</f>
        <v>No Conflict Rule Applies to This Role</v>
      </c>
      <c r="T80" s="9" t="str">
        <f aca="false">IF(AND(H80="Admin",I80="Active"),IF(COUNTIFS(Recertifications!$B$2:$B$119,B80,Recertifications!$E$2:$E$119,F80,Recertifications!$K$2:$K$119,"&lt;&gt;")&gt;0,"OK - Recertified","EXCEPTION: PRIVILEGED ACCESS NEVER RECERTIFIED"),"N/A - Not Privileged")</f>
        <v>N/A - Not Privileged</v>
      </c>
      <c r="U80" s="9" t="str">
        <f aca="false">IF(OR(LEFT(M80,9)="EXCEPTION",LEFT(P80,9)="EXCEPTION",LEFT(S80,9)="EXCEPTION",LEFT(T80,9)="EXCEPTION"),"EXCEPTION","Clean")</f>
        <v>Clean</v>
      </c>
      <c r="V80" s="9" t="str">
        <f aca="false">IF(LEFT(M80,9)="EXCEPTION","Deprovisioning Control Gap",IF(LEFT(S80,9)="EXCEPTION","Segregation of Duties Conflict",IF(LEFT(P80,9)="EXCEPTION","Provisioning Approval Gap",IF(LEFT(T80,9)="EXCEPTION","Recertification Gap","N/A"))))</f>
        <v>N/A</v>
      </c>
    </row>
    <row r="81" customFormat="false" ht="15" hidden="false" customHeight="true" outlineLevel="0" collapsed="false">
      <c r="A81" s="9" t="str">
        <f aca="false">Access_Grants!A81</f>
        <v>AG-0080</v>
      </c>
      <c r="B81" s="9" t="str">
        <f aca="false">Access_Grants!B81</f>
        <v>E024</v>
      </c>
      <c r="C81" s="9" t="str">
        <f aca="false">Access_Grants!C81</f>
        <v>Priya Rossi</v>
      </c>
      <c r="D81" s="9" t="str">
        <f aca="false">Access_Grants!D81</f>
        <v>Accounts Payable</v>
      </c>
      <c r="E81" s="9" t="str">
        <f aca="false">Access_Grants!E81</f>
        <v>SYS-ERP</v>
      </c>
      <c r="F81" s="9" t="str">
        <f aca="false">Access_Grants!F81</f>
        <v>R02</v>
      </c>
      <c r="G81" s="9" t="str">
        <f aca="false">Access_Grants!G81</f>
        <v>AP Payment Approval</v>
      </c>
      <c r="H81" s="9" t="str">
        <f aca="false">Access_Grants!H81</f>
        <v>Write</v>
      </c>
      <c r="I81" s="9" t="str">
        <f aca="false">Access_Grants!L81</f>
        <v>Active</v>
      </c>
      <c r="J81" s="10" t="n">
        <f aca="false">Access_Grants!I81</f>
        <v>45074</v>
      </c>
      <c r="K81" s="10" t="n">
        <f aca="false">IFERROR(INDEX(HR_Employees!$F$2:$F$51,MATCH(B81,HR_Employees!$A$2:$A$51,0)),"")</f>
        <v>0</v>
      </c>
      <c r="L81" s="10" t="str">
        <f aca="false">IF(Access_Grants!M81="","",Access_Grants!M81)</f>
        <v/>
      </c>
      <c r="M81" s="9" t="str">
        <f aca="false">IF(K81="","N/A - Active Employee",IF(OR(I81="Active",AND(L81&lt;&gt;"",L81&gt;K81+5)),"EXCEPTION: TERMINATED USER - ACCESS NOT REVOKED TIMELY","OK - Revoked Within SLA"))</f>
        <v>N/A - Active Employee</v>
      </c>
      <c r="N81" s="9" t="str">
        <f aca="false">Access_Grants!J81&amp;""</f>
        <v>System Auto-Provision</v>
      </c>
      <c r="O81" s="9" t="str">
        <f aca="false">Access_Grants!K81&amp;""</f>
        <v>CHG-62488</v>
      </c>
      <c r="P81" s="9" t="str">
        <f aca="false">IF(OR(TRIM(N81)="",TRIM(O81)=""),"EXCEPTION: NO DOCUMENTED APPROVAL","OK - Approved")</f>
        <v>OK - Approved</v>
      </c>
      <c r="Q81" s="9" t="str">
        <f aca="false">IFERROR(INDEX(SoD_Conflict_Matrix!$D$2:$D$7,MATCH(F81,SoD_Conflict_Matrix!$B$2:$B$7,0)),IFERROR(INDEX(SoD_Conflict_Matrix!$B$2:$B$7,MATCH(F81,SoD_Conflict_Matrix!$D$2:$D$7,0)),""))</f>
        <v>R01</v>
      </c>
      <c r="R81" s="9" t="str">
        <f aca="false">IFERROR(INDEX(SoD_Conflict_Matrix!$E$2:$E$7,MATCH(F81,SoD_Conflict_Matrix!$B$2:$B$7,0)),IFERROR(INDEX(SoD_Conflict_Matrix!$C$2:$C$7,MATCH(F81,SoD_Conflict_Matrix!$D$2:$D$7,0)),""))</f>
        <v>AP Invoice Entry</v>
      </c>
      <c r="S81" s="9" t="str">
        <f aca="false">IF(Q81="","No Conflict Rule Applies to This Role",IF(COUNTIFS(Access_Grants!$B$2:$B$175,B81,Access_Grants!$F$2:$F$175,Q81,Access_Grants!$L$2:$L$175,"Active")&gt;0,"EXCEPTION: SoD CONFLICT - ALSO HOLDS "&amp;R81,"OK - No Conflicting Role Held"))</f>
        <v>OK - No Conflicting Role Held</v>
      </c>
      <c r="T81" s="9" t="str">
        <f aca="false">IF(AND(H81="Admin",I81="Active"),IF(COUNTIFS(Recertifications!$B$2:$B$119,B81,Recertifications!$E$2:$E$119,F81,Recertifications!$K$2:$K$119,"&lt;&gt;")&gt;0,"OK - Recertified","EXCEPTION: PRIVILEGED ACCESS NEVER RECERTIFIED"),"N/A - Not Privileged")</f>
        <v>N/A - Not Privileged</v>
      </c>
      <c r="U81" s="9" t="str">
        <f aca="false">IF(OR(LEFT(M81,9)="EXCEPTION",LEFT(P81,9)="EXCEPTION",LEFT(S81,9)="EXCEPTION",LEFT(T81,9)="EXCEPTION"),"EXCEPTION","Clean")</f>
        <v>Clean</v>
      </c>
      <c r="V81" s="9" t="str">
        <f aca="false">IF(LEFT(M81,9)="EXCEPTION","Deprovisioning Control Gap",IF(LEFT(S81,9)="EXCEPTION","Segregation of Duties Conflict",IF(LEFT(P81,9)="EXCEPTION","Provisioning Approval Gap",IF(LEFT(T81,9)="EXCEPTION","Recertification Gap","N/A"))))</f>
        <v>N/A</v>
      </c>
    </row>
    <row r="82" customFormat="false" ht="15" hidden="false" customHeight="true" outlineLevel="0" collapsed="false">
      <c r="A82" s="9" t="str">
        <f aca="false">Access_Grants!A82</f>
        <v>AG-0081</v>
      </c>
      <c r="B82" s="9" t="str">
        <f aca="false">Access_Grants!B82</f>
        <v>E025</v>
      </c>
      <c r="C82" s="9" t="str">
        <f aca="false">Access_Grants!C82</f>
        <v>Kenji Silva</v>
      </c>
      <c r="D82" s="9" t="str">
        <f aca="false">Access_Grants!D82</f>
        <v>Customer Service</v>
      </c>
      <c r="E82" s="9" t="str">
        <f aca="false">Access_Grants!E82</f>
        <v>SYS-AD</v>
      </c>
      <c r="F82" s="9" t="str">
        <f aca="false">Access_Grants!F82</f>
        <v>R09</v>
      </c>
      <c r="G82" s="9" t="str">
        <f aca="false">Access_Grants!G82</f>
        <v>Standard Network User</v>
      </c>
      <c r="H82" s="9" t="str">
        <f aca="false">Access_Grants!H82</f>
        <v>Read</v>
      </c>
      <c r="I82" s="9" t="str">
        <f aca="false">Access_Grants!L82</f>
        <v>Revoked</v>
      </c>
      <c r="J82" s="10" t="n">
        <f aca="false">Access_Grants!I82</f>
        <v>46130</v>
      </c>
      <c r="K82" s="10" t="n">
        <f aca="false">IFERROR(INDEX(HR_Employees!$F$2:$F$51,MATCH(B82,HR_Employees!$A$2:$A$51,0)),"")</f>
        <v>46257</v>
      </c>
      <c r="L82" s="10" t="n">
        <f aca="false">IF(Access_Grants!M82="","",Access_Grants!M82)</f>
        <v>46260</v>
      </c>
      <c r="M82" s="9" t="str">
        <f aca="false">IF(K82="","N/A - Active Employee",IF(OR(I82="Active",AND(L82&lt;&gt;"",L82&gt;K82+5)),"EXCEPTION: TERMINATED USER - ACCESS NOT REVOKED TIMELY","OK - Revoked Within SLA"))</f>
        <v>OK - Revoked Within SLA</v>
      </c>
      <c r="N82" s="9" t="str">
        <f aca="false">Access_Grants!J82&amp;""</f>
        <v>MGR-09</v>
      </c>
      <c r="O82" s="9" t="str">
        <f aca="false">Access_Grants!K82&amp;""</f>
        <v>CHG-10150</v>
      </c>
      <c r="P82" s="9" t="str">
        <f aca="false">IF(OR(TRIM(N82)="",TRIM(O82)=""),"EXCEPTION: NO DOCUMENTED APPROVAL","OK - Approved")</f>
        <v>OK - Approved</v>
      </c>
      <c r="Q82" s="9" t="str">
        <f aca="false">IFERROR(INDEX(SoD_Conflict_Matrix!$D$2:$D$7,MATCH(F82,SoD_Conflict_Matrix!$B$2:$B$7,0)),IFERROR(INDEX(SoD_Conflict_Matrix!$B$2:$B$7,MATCH(F82,SoD_Conflict_Matrix!$D$2:$D$7,0)),""))</f>
        <v/>
      </c>
      <c r="R82" s="9" t="str">
        <f aca="false">IFERROR(INDEX(SoD_Conflict_Matrix!$E$2:$E$7,MATCH(F82,SoD_Conflict_Matrix!$B$2:$B$7,0)),IFERROR(INDEX(SoD_Conflict_Matrix!$C$2:$C$7,MATCH(F82,SoD_Conflict_Matrix!$D$2:$D$7,0)),""))</f>
        <v/>
      </c>
      <c r="S82" s="9" t="str">
        <f aca="false">IF(Q82="","No Conflict Rule Applies to This Role",IF(COUNTIFS(Access_Grants!$B$2:$B$175,B82,Access_Grants!$F$2:$F$175,Q82,Access_Grants!$L$2:$L$175,"Active")&gt;0,"EXCEPTION: SoD CONFLICT - ALSO HOLDS "&amp;R82,"OK - No Conflicting Role Held"))</f>
        <v>No Conflict Rule Applies to This Role</v>
      </c>
      <c r="T82" s="9" t="str">
        <f aca="false">IF(AND(H82="Admin",I82="Active"),IF(COUNTIFS(Recertifications!$B$2:$B$119,B82,Recertifications!$E$2:$E$119,F82,Recertifications!$K$2:$K$119,"&lt;&gt;")&gt;0,"OK - Recertified","EXCEPTION: PRIVILEGED ACCESS NEVER RECERTIFIED"),"N/A - Not Privileged")</f>
        <v>N/A - Not Privileged</v>
      </c>
      <c r="U82" s="9" t="str">
        <f aca="false">IF(OR(LEFT(M82,9)="EXCEPTION",LEFT(P82,9)="EXCEPTION",LEFT(S82,9)="EXCEPTION",LEFT(T82,9)="EXCEPTION"),"EXCEPTION","Clean")</f>
        <v>Clean</v>
      </c>
      <c r="V82" s="9" t="str">
        <f aca="false">IF(LEFT(M82,9)="EXCEPTION","Deprovisioning Control Gap",IF(LEFT(S82,9)="EXCEPTION","Segregation of Duties Conflict",IF(LEFT(P82,9)="EXCEPTION","Provisioning Approval Gap",IF(LEFT(T82,9)="EXCEPTION","Recertification Gap","N/A"))))</f>
        <v>N/A</v>
      </c>
    </row>
    <row r="83" customFormat="false" ht="15" hidden="false" customHeight="true" outlineLevel="0" collapsed="false">
      <c r="A83" s="9" t="str">
        <f aca="false">Access_Grants!A83</f>
        <v>AG-0082</v>
      </c>
      <c r="B83" s="9" t="str">
        <f aca="false">Access_Grants!B83</f>
        <v>E025</v>
      </c>
      <c r="C83" s="9" t="str">
        <f aca="false">Access_Grants!C83</f>
        <v>Kenji Silva</v>
      </c>
      <c r="D83" s="9" t="str">
        <f aca="false">Access_Grants!D83</f>
        <v>Customer Service</v>
      </c>
      <c r="E83" s="9" t="str">
        <f aca="false">Access_Grants!E83</f>
        <v>SYS-CRM</v>
      </c>
      <c r="F83" s="9" t="str">
        <f aca="false">Access_Grants!F83</f>
        <v>R11</v>
      </c>
      <c r="G83" s="9" t="str">
        <f aca="false">Access_Grants!G83</f>
        <v>Sales Order Entry</v>
      </c>
      <c r="H83" s="9" t="str">
        <f aca="false">Access_Grants!H83</f>
        <v>Write</v>
      </c>
      <c r="I83" s="9" t="str">
        <f aca="false">Access_Grants!L83</f>
        <v>Revoked</v>
      </c>
      <c r="J83" s="10" t="n">
        <f aca="false">Access_Grants!I83</f>
        <v>45772</v>
      </c>
      <c r="K83" s="10" t="n">
        <f aca="false">IFERROR(INDEX(HR_Employees!$F$2:$F$51,MATCH(B83,HR_Employees!$A$2:$A$51,0)),"")</f>
        <v>46257</v>
      </c>
      <c r="L83" s="10" t="n">
        <f aca="false">IF(Access_Grants!M83="","",Access_Grants!M83)</f>
        <v>46262</v>
      </c>
      <c r="M83" s="9" t="str">
        <f aca="false">IF(K83="","N/A - Active Employee",IF(OR(I83="Active",AND(L83&lt;&gt;"",L83&gt;K83+5)),"EXCEPTION: TERMINATED USER - ACCESS NOT REVOKED TIMELY","OK - Revoked Within SLA"))</f>
        <v>OK - Revoked Within SLA</v>
      </c>
      <c r="N83" s="9" t="str">
        <f aca="false">Access_Grants!J83&amp;""</f>
        <v>MGR-04</v>
      </c>
      <c r="O83" s="9" t="str">
        <f aca="false">Access_Grants!K83&amp;""</f>
        <v>CHG-77952</v>
      </c>
      <c r="P83" s="9" t="str">
        <f aca="false">IF(OR(TRIM(N83)="",TRIM(O83)=""),"EXCEPTION: NO DOCUMENTED APPROVAL","OK - Approved")</f>
        <v>OK - Approved</v>
      </c>
      <c r="Q83" s="9" t="str">
        <f aca="false">IFERROR(INDEX(SoD_Conflict_Matrix!$D$2:$D$7,MATCH(F83,SoD_Conflict_Matrix!$B$2:$B$7,0)),IFERROR(INDEX(SoD_Conflict_Matrix!$B$2:$B$7,MATCH(F83,SoD_Conflict_Matrix!$D$2:$D$7,0)),""))</f>
        <v>R12</v>
      </c>
      <c r="R83" s="9" t="str">
        <f aca="false">IFERROR(INDEX(SoD_Conflict_Matrix!$E$2:$E$7,MATCH(F83,SoD_Conflict_Matrix!$B$2:$B$7,0)),IFERROR(INDEX(SoD_Conflict_Matrix!$C$2:$C$7,MATCH(F83,SoD_Conflict_Matrix!$D$2:$D$7,0)),""))</f>
        <v>Sales Credit Memo Approval</v>
      </c>
      <c r="S83" s="9" t="str">
        <f aca="false">IF(Q83="","No Conflict Rule Applies to This Role",IF(COUNTIFS(Access_Grants!$B$2:$B$175,B83,Access_Grants!$F$2:$F$175,Q83,Access_Grants!$L$2:$L$175,"Active")&gt;0,"EXCEPTION: SoD CONFLICT - ALSO HOLDS "&amp;R83,"OK - No Conflicting Role Held"))</f>
        <v>OK - No Conflicting Role Held</v>
      </c>
      <c r="T83" s="9" t="str">
        <f aca="false">IF(AND(H83="Admin",I83="Active"),IF(COUNTIFS(Recertifications!$B$2:$B$119,B83,Recertifications!$E$2:$E$119,F83,Recertifications!$K$2:$K$119,"&lt;&gt;")&gt;0,"OK - Recertified","EXCEPTION: PRIVILEGED ACCESS NEVER RECERTIFIED"),"N/A - Not Privileged")</f>
        <v>N/A - Not Privileged</v>
      </c>
      <c r="U83" s="9" t="str">
        <f aca="false">IF(OR(LEFT(M83,9)="EXCEPTION",LEFT(P83,9)="EXCEPTION",LEFT(S83,9)="EXCEPTION",LEFT(T83,9)="EXCEPTION"),"EXCEPTION","Clean")</f>
        <v>Clean</v>
      </c>
      <c r="V83" s="9" t="str">
        <f aca="false">IF(LEFT(M83,9)="EXCEPTION","Deprovisioning Control Gap",IF(LEFT(S83,9)="EXCEPTION","Segregation of Duties Conflict",IF(LEFT(P83,9)="EXCEPTION","Provisioning Approval Gap",IF(LEFT(T83,9)="EXCEPTION","Recertification Gap","N/A"))))</f>
        <v>N/A</v>
      </c>
    </row>
    <row r="84" customFormat="false" ht="15" hidden="false" customHeight="true" outlineLevel="0" collapsed="false">
      <c r="A84" s="9" t="str">
        <f aca="false">Access_Grants!A84</f>
        <v>AG-0083</v>
      </c>
      <c r="B84" s="9" t="str">
        <f aca="false">Access_Grants!B84</f>
        <v>E025</v>
      </c>
      <c r="C84" s="9" t="str">
        <f aca="false">Access_Grants!C84</f>
        <v>Kenji Silva</v>
      </c>
      <c r="D84" s="9" t="str">
        <f aca="false">Access_Grants!D84</f>
        <v>Customer Service</v>
      </c>
      <c r="E84" s="9" t="str">
        <f aca="false">Access_Grants!E84</f>
        <v>SYS-HRIS</v>
      </c>
      <c r="F84" s="9" t="str">
        <f aca="false">Access_Grants!F84</f>
        <v>R08</v>
      </c>
      <c r="G84" s="9" t="str">
        <f aca="false">Access_Grants!G84</f>
        <v>Employee Master Read-Only</v>
      </c>
      <c r="H84" s="9" t="str">
        <f aca="false">Access_Grants!H84</f>
        <v>Read</v>
      </c>
      <c r="I84" s="9" t="str">
        <f aca="false">Access_Grants!L84</f>
        <v>Active</v>
      </c>
      <c r="J84" s="10" t="n">
        <f aca="false">Access_Grants!I84</f>
        <v>46169</v>
      </c>
      <c r="K84" s="10" t="n">
        <f aca="false">IFERROR(INDEX(HR_Employees!$F$2:$F$51,MATCH(B84,HR_Employees!$A$2:$A$51,0)),"")</f>
        <v>46257</v>
      </c>
      <c r="L84" s="10" t="str">
        <f aca="false">IF(Access_Grants!M84="","",Access_Grants!M84)</f>
        <v/>
      </c>
      <c r="M84" s="9" t="str">
        <f aca="false">IF(K84="","N/A - Active Employee",IF(OR(I84="Active",AND(L84&lt;&gt;"",L84&gt;K84+5)),"EXCEPTION: TERMINATED USER - ACCESS NOT REVOKED TIMELY","OK - Revoked Within SLA"))</f>
        <v>EXCEPTION: TERMINATED USER - ACCESS NOT REVOKED TIMELY</v>
      </c>
      <c r="N84" s="9" t="str">
        <f aca="false">Access_Grants!J84&amp;""</f>
        <v>MGR-01</v>
      </c>
      <c r="O84" s="9" t="str">
        <f aca="false">Access_Grants!K84&amp;""</f>
        <v>CHG-36680</v>
      </c>
      <c r="P84" s="9" t="str">
        <f aca="false">IF(OR(TRIM(N84)="",TRIM(O84)=""),"EXCEPTION: NO DOCUMENTED APPROVAL","OK - Approved")</f>
        <v>OK - Approved</v>
      </c>
      <c r="Q84" s="9" t="str">
        <f aca="false">IFERROR(INDEX(SoD_Conflict_Matrix!$D$2:$D$7,MATCH(F84,SoD_Conflict_Matrix!$B$2:$B$7,0)),IFERROR(INDEX(SoD_Conflict_Matrix!$B$2:$B$7,MATCH(F84,SoD_Conflict_Matrix!$D$2:$D$7,0)),""))</f>
        <v/>
      </c>
      <c r="R84" s="9" t="str">
        <f aca="false">IFERROR(INDEX(SoD_Conflict_Matrix!$E$2:$E$7,MATCH(F84,SoD_Conflict_Matrix!$B$2:$B$7,0)),IFERROR(INDEX(SoD_Conflict_Matrix!$C$2:$C$7,MATCH(F84,SoD_Conflict_Matrix!$D$2:$D$7,0)),""))</f>
        <v/>
      </c>
      <c r="S84" s="9" t="str">
        <f aca="false">IF(Q84="","No Conflict Rule Applies to This Role",IF(COUNTIFS(Access_Grants!$B$2:$B$175,B84,Access_Grants!$F$2:$F$175,Q84,Access_Grants!$L$2:$L$175,"Active")&gt;0,"EXCEPTION: SoD CONFLICT - ALSO HOLDS "&amp;R84,"OK - No Conflicting Role Held"))</f>
        <v>No Conflict Rule Applies to This Role</v>
      </c>
      <c r="T84" s="9" t="str">
        <f aca="false">IF(AND(H84="Admin",I84="Active"),IF(COUNTIFS(Recertifications!$B$2:$B$119,B84,Recertifications!$E$2:$E$119,F84,Recertifications!$K$2:$K$119,"&lt;&gt;")&gt;0,"OK - Recertified","EXCEPTION: PRIVILEGED ACCESS NEVER RECERTIFIED"),"N/A - Not Privileged")</f>
        <v>N/A - Not Privileged</v>
      </c>
      <c r="U84" s="9" t="str">
        <f aca="false">IF(OR(LEFT(M84,9)="EXCEPTION",LEFT(P84,9)="EXCEPTION",LEFT(S84,9)="EXCEPTION",LEFT(T84,9)="EXCEPTION"),"EXCEPTION","Clean")</f>
        <v>EXCEPTION</v>
      </c>
      <c r="V84" s="9" t="str">
        <f aca="false">IF(LEFT(M84,9)="EXCEPTION","Deprovisioning Control Gap",IF(LEFT(S84,9)="EXCEPTION","Segregation of Duties Conflict",IF(LEFT(P84,9)="EXCEPTION","Provisioning Approval Gap",IF(LEFT(T84,9)="EXCEPTION","Recertification Gap","N/A"))))</f>
        <v>Deprovisioning Control Gap</v>
      </c>
    </row>
    <row r="85" customFormat="false" ht="15" hidden="false" customHeight="true" outlineLevel="0" collapsed="false">
      <c r="A85" s="9" t="str">
        <f aca="false">Access_Grants!A85</f>
        <v>AG-0084</v>
      </c>
      <c r="B85" s="9" t="str">
        <f aca="false">Access_Grants!B85</f>
        <v>E026</v>
      </c>
      <c r="C85" s="9" t="str">
        <f aca="false">Access_Grants!C85</f>
        <v>Grace Braga</v>
      </c>
      <c r="D85" s="9" t="str">
        <f aca="false">Access_Grants!D85</f>
        <v>Procurement</v>
      </c>
      <c r="E85" s="9" t="str">
        <f aca="false">Access_Grants!E85</f>
        <v>SYS-ERP</v>
      </c>
      <c r="F85" s="9" t="str">
        <f aca="false">Access_Grants!F85</f>
        <v>R03</v>
      </c>
      <c r="G85" s="9" t="str">
        <f aca="false">Access_Grants!G85</f>
        <v>Vendor Master Maintenance</v>
      </c>
      <c r="H85" s="9" t="str">
        <f aca="false">Access_Grants!H85</f>
        <v>Write</v>
      </c>
      <c r="I85" s="9" t="str">
        <f aca="false">Access_Grants!L85</f>
        <v>Revoked</v>
      </c>
      <c r="J85" s="10" t="n">
        <f aca="false">Access_Grants!I85</f>
        <v>45550</v>
      </c>
      <c r="K85" s="10" t="n">
        <f aca="false">IFERROR(INDEX(HR_Employees!$F$2:$F$51,MATCH(B85,HR_Employees!$A$2:$A$51,0)),"")</f>
        <v>0</v>
      </c>
      <c r="L85" s="10" t="n">
        <f aca="false">IF(Access_Grants!M85="","",Access_Grants!M85)</f>
        <v>45967</v>
      </c>
      <c r="M85" s="9" t="str">
        <f aca="false">IF(K85="","N/A - Active Employee",IF(OR(I85="Active",AND(L85&lt;&gt;"",L85&gt;K85+5)),"EXCEPTION: TERMINATED USER - ACCESS NOT REVOKED TIMELY","OK - Revoked Within SLA"))</f>
        <v>N/A - Active Employee</v>
      </c>
      <c r="N85" s="9" t="str">
        <f aca="false">Access_Grants!J85&amp;""</f>
        <v>MGR-04</v>
      </c>
      <c r="O85" s="9" t="str">
        <f aca="false">Access_Grants!K85&amp;""</f>
        <v>CHG-30758</v>
      </c>
      <c r="P85" s="9" t="str">
        <f aca="false">IF(OR(TRIM(N85)="",TRIM(O85)=""),"EXCEPTION: NO DOCUMENTED APPROVAL","OK - Approved")</f>
        <v>OK - Approved</v>
      </c>
      <c r="Q85" s="9" t="str">
        <f aca="false">IFERROR(INDEX(SoD_Conflict_Matrix!$D$2:$D$7,MATCH(F85,SoD_Conflict_Matrix!$B$2:$B$7,0)),IFERROR(INDEX(SoD_Conflict_Matrix!$B$2:$B$7,MATCH(F85,SoD_Conflict_Matrix!$D$2:$D$7,0)),""))</f>
        <v>R02</v>
      </c>
      <c r="R85" s="9" t="str">
        <f aca="false">IFERROR(INDEX(SoD_Conflict_Matrix!$E$2:$E$7,MATCH(F85,SoD_Conflict_Matrix!$B$2:$B$7,0)),IFERROR(INDEX(SoD_Conflict_Matrix!$C$2:$C$7,MATCH(F85,SoD_Conflict_Matrix!$D$2:$D$7,0)),""))</f>
        <v>AP Payment Approval</v>
      </c>
      <c r="S85" s="9" t="str">
        <f aca="false">IF(Q85="","No Conflict Rule Applies to This Role",IF(COUNTIFS(Access_Grants!$B$2:$B$175,B85,Access_Grants!$F$2:$F$175,Q85,Access_Grants!$L$2:$L$175,"Active")&gt;0,"EXCEPTION: SoD CONFLICT - ALSO HOLDS "&amp;R85,"OK - No Conflicting Role Held"))</f>
        <v>OK - No Conflicting Role Held</v>
      </c>
      <c r="T85" s="9" t="str">
        <f aca="false">IF(AND(H85="Admin",I85="Active"),IF(COUNTIFS(Recertifications!$B$2:$B$119,B85,Recertifications!$E$2:$E$119,F85,Recertifications!$K$2:$K$119,"&lt;&gt;")&gt;0,"OK - Recertified","EXCEPTION: PRIVILEGED ACCESS NEVER RECERTIFIED"),"N/A - Not Privileged")</f>
        <v>N/A - Not Privileged</v>
      </c>
      <c r="U85" s="9" t="str">
        <f aca="false">IF(OR(LEFT(M85,9)="EXCEPTION",LEFT(P85,9)="EXCEPTION",LEFT(S85,9)="EXCEPTION",LEFT(T85,9)="EXCEPTION"),"EXCEPTION","Clean")</f>
        <v>Clean</v>
      </c>
      <c r="V85" s="9" t="str">
        <f aca="false">IF(LEFT(M85,9)="EXCEPTION","Deprovisioning Control Gap",IF(LEFT(S85,9)="EXCEPTION","Segregation of Duties Conflict",IF(LEFT(P85,9)="EXCEPTION","Provisioning Approval Gap",IF(LEFT(T85,9)="EXCEPTION","Recertification Gap","N/A"))))</f>
        <v>N/A</v>
      </c>
    </row>
    <row r="86" customFormat="false" ht="15" hidden="false" customHeight="true" outlineLevel="0" collapsed="false">
      <c r="A86" s="9" t="str">
        <f aca="false">Access_Grants!A86</f>
        <v>AG-0085</v>
      </c>
      <c r="B86" s="9" t="str">
        <f aca="false">Access_Grants!B86</f>
        <v>E026</v>
      </c>
      <c r="C86" s="9" t="str">
        <f aca="false">Access_Grants!C86</f>
        <v>Grace Braga</v>
      </c>
      <c r="D86" s="9" t="str">
        <f aca="false">Access_Grants!D86</f>
        <v>Procurement</v>
      </c>
      <c r="E86" s="9" t="str">
        <f aca="false">Access_Grants!E86</f>
        <v>SYS-HRIS</v>
      </c>
      <c r="F86" s="9" t="str">
        <f aca="false">Access_Grants!F86</f>
        <v>R08</v>
      </c>
      <c r="G86" s="9" t="str">
        <f aca="false">Access_Grants!G86</f>
        <v>Employee Master Read-Only</v>
      </c>
      <c r="H86" s="9" t="str">
        <f aca="false">Access_Grants!H86</f>
        <v>Read</v>
      </c>
      <c r="I86" s="9" t="str">
        <f aca="false">Access_Grants!L86</f>
        <v>Active</v>
      </c>
      <c r="J86" s="10" t="n">
        <f aca="false">Access_Grants!I86</f>
        <v>45022</v>
      </c>
      <c r="K86" s="10" t="n">
        <f aca="false">IFERROR(INDEX(HR_Employees!$F$2:$F$51,MATCH(B86,HR_Employees!$A$2:$A$51,0)),"")</f>
        <v>0</v>
      </c>
      <c r="L86" s="10" t="str">
        <f aca="false">IF(Access_Grants!M86="","",Access_Grants!M86)</f>
        <v/>
      </c>
      <c r="M86" s="9" t="str">
        <f aca="false">IF(K86="","N/A - Active Employee",IF(OR(I86="Active",AND(L86&lt;&gt;"",L86&gt;K86+5)),"EXCEPTION: TERMINATED USER - ACCESS NOT REVOKED TIMELY","OK - Revoked Within SLA"))</f>
        <v>N/A - Active Employee</v>
      </c>
      <c r="N86" s="9" t="str">
        <f aca="false">Access_Grants!J86&amp;""</f>
        <v>MGR-04</v>
      </c>
      <c r="O86" s="9" t="str">
        <f aca="false">Access_Grants!K86&amp;""</f>
        <v>CHG-24871</v>
      </c>
      <c r="P86" s="9" t="str">
        <f aca="false">IF(OR(TRIM(N86)="",TRIM(O86)=""),"EXCEPTION: NO DOCUMENTED APPROVAL","OK - Approved")</f>
        <v>OK - Approved</v>
      </c>
      <c r="Q86" s="9" t="str">
        <f aca="false">IFERROR(INDEX(SoD_Conflict_Matrix!$D$2:$D$7,MATCH(F86,SoD_Conflict_Matrix!$B$2:$B$7,0)),IFERROR(INDEX(SoD_Conflict_Matrix!$B$2:$B$7,MATCH(F86,SoD_Conflict_Matrix!$D$2:$D$7,0)),""))</f>
        <v/>
      </c>
      <c r="R86" s="9" t="str">
        <f aca="false">IFERROR(INDEX(SoD_Conflict_Matrix!$E$2:$E$7,MATCH(F86,SoD_Conflict_Matrix!$B$2:$B$7,0)),IFERROR(INDEX(SoD_Conflict_Matrix!$C$2:$C$7,MATCH(F86,SoD_Conflict_Matrix!$D$2:$D$7,0)),""))</f>
        <v/>
      </c>
      <c r="S86" s="9" t="str">
        <f aca="false">IF(Q86="","No Conflict Rule Applies to This Role",IF(COUNTIFS(Access_Grants!$B$2:$B$175,B86,Access_Grants!$F$2:$F$175,Q86,Access_Grants!$L$2:$L$175,"Active")&gt;0,"EXCEPTION: SoD CONFLICT - ALSO HOLDS "&amp;R86,"OK - No Conflicting Role Held"))</f>
        <v>No Conflict Rule Applies to This Role</v>
      </c>
      <c r="T86" s="9" t="str">
        <f aca="false">IF(AND(H86="Admin",I86="Active"),IF(COUNTIFS(Recertifications!$B$2:$B$119,B86,Recertifications!$E$2:$E$119,F86,Recertifications!$K$2:$K$119,"&lt;&gt;")&gt;0,"OK - Recertified","EXCEPTION: PRIVILEGED ACCESS NEVER RECERTIFIED"),"N/A - Not Privileged")</f>
        <v>N/A - Not Privileged</v>
      </c>
      <c r="U86" s="9" t="str">
        <f aca="false">IF(OR(LEFT(M86,9)="EXCEPTION",LEFT(P86,9)="EXCEPTION",LEFT(S86,9)="EXCEPTION",LEFT(T86,9)="EXCEPTION"),"EXCEPTION","Clean")</f>
        <v>Clean</v>
      </c>
      <c r="V86" s="9" t="str">
        <f aca="false">IF(LEFT(M86,9)="EXCEPTION","Deprovisioning Control Gap",IF(LEFT(S86,9)="EXCEPTION","Segregation of Duties Conflict",IF(LEFT(P86,9)="EXCEPTION","Provisioning Approval Gap",IF(LEFT(T86,9)="EXCEPTION","Recertification Gap","N/A"))))</f>
        <v>N/A</v>
      </c>
    </row>
    <row r="87" customFormat="false" ht="15" hidden="false" customHeight="true" outlineLevel="0" collapsed="false">
      <c r="A87" s="9" t="str">
        <f aca="false">Access_Grants!A87</f>
        <v>AG-0086</v>
      </c>
      <c r="B87" s="9" t="str">
        <f aca="false">Access_Grants!B87</f>
        <v>E026</v>
      </c>
      <c r="C87" s="9" t="str">
        <f aca="false">Access_Grants!C87</f>
        <v>Grace Braga</v>
      </c>
      <c r="D87" s="9" t="str">
        <f aca="false">Access_Grants!D87</f>
        <v>Procurement</v>
      </c>
      <c r="E87" s="9" t="str">
        <f aca="false">Access_Grants!E87</f>
        <v>SYS-AD</v>
      </c>
      <c r="F87" s="9" t="str">
        <f aca="false">Access_Grants!F87</f>
        <v>R09</v>
      </c>
      <c r="G87" s="9" t="str">
        <f aca="false">Access_Grants!G87</f>
        <v>Standard Network User</v>
      </c>
      <c r="H87" s="9" t="str">
        <f aca="false">Access_Grants!H87</f>
        <v>Read</v>
      </c>
      <c r="I87" s="9" t="str">
        <f aca="false">Access_Grants!L87</f>
        <v>Active</v>
      </c>
      <c r="J87" s="10" t="n">
        <f aca="false">Access_Grants!I87</f>
        <v>45779</v>
      </c>
      <c r="K87" s="10" t="n">
        <f aca="false">IFERROR(INDEX(HR_Employees!$F$2:$F$51,MATCH(B87,HR_Employees!$A$2:$A$51,0)),"")</f>
        <v>0</v>
      </c>
      <c r="L87" s="10" t="str">
        <f aca="false">IF(Access_Grants!M87="","",Access_Grants!M87)</f>
        <v/>
      </c>
      <c r="M87" s="9" t="str">
        <f aca="false">IF(K87="","N/A - Active Employee",IF(OR(I87="Active",AND(L87&lt;&gt;"",L87&gt;K87+5)),"EXCEPTION: TERMINATED USER - ACCESS NOT REVOKED TIMELY","OK - Revoked Within SLA"))</f>
        <v>N/A - Active Employee</v>
      </c>
      <c r="N87" s="9" t="str">
        <f aca="false">Access_Grants!J87&amp;""</f>
        <v>MGR-03</v>
      </c>
      <c r="O87" s="9" t="str">
        <f aca="false">Access_Grants!K87&amp;""</f>
        <v>CHG-75323</v>
      </c>
      <c r="P87" s="9" t="str">
        <f aca="false">IF(OR(TRIM(N87)="",TRIM(O87)=""),"EXCEPTION: NO DOCUMENTED APPROVAL","OK - Approved")</f>
        <v>OK - Approved</v>
      </c>
      <c r="Q87" s="9" t="str">
        <f aca="false">IFERROR(INDEX(SoD_Conflict_Matrix!$D$2:$D$7,MATCH(F87,SoD_Conflict_Matrix!$B$2:$B$7,0)),IFERROR(INDEX(SoD_Conflict_Matrix!$B$2:$B$7,MATCH(F87,SoD_Conflict_Matrix!$D$2:$D$7,0)),""))</f>
        <v/>
      </c>
      <c r="R87" s="9" t="str">
        <f aca="false">IFERROR(INDEX(SoD_Conflict_Matrix!$E$2:$E$7,MATCH(F87,SoD_Conflict_Matrix!$B$2:$B$7,0)),IFERROR(INDEX(SoD_Conflict_Matrix!$C$2:$C$7,MATCH(F87,SoD_Conflict_Matrix!$D$2:$D$7,0)),""))</f>
        <v/>
      </c>
      <c r="S87" s="9" t="str">
        <f aca="false">IF(Q87="","No Conflict Rule Applies to This Role",IF(COUNTIFS(Access_Grants!$B$2:$B$175,B87,Access_Grants!$F$2:$F$175,Q87,Access_Grants!$L$2:$L$175,"Active")&gt;0,"EXCEPTION: SoD CONFLICT - ALSO HOLDS "&amp;R87,"OK - No Conflicting Role Held"))</f>
        <v>No Conflict Rule Applies to This Role</v>
      </c>
      <c r="T87" s="9" t="str">
        <f aca="false">IF(AND(H87="Admin",I87="Active"),IF(COUNTIFS(Recertifications!$B$2:$B$119,B87,Recertifications!$E$2:$E$119,F87,Recertifications!$K$2:$K$119,"&lt;&gt;")&gt;0,"OK - Recertified","EXCEPTION: PRIVILEGED ACCESS NEVER RECERTIFIED"),"N/A - Not Privileged")</f>
        <v>N/A - Not Privileged</v>
      </c>
      <c r="U87" s="9" t="str">
        <f aca="false">IF(OR(LEFT(M87,9)="EXCEPTION",LEFT(P87,9)="EXCEPTION",LEFT(S87,9)="EXCEPTION",LEFT(T87,9)="EXCEPTION"),"EXCEPTION","Clean")</f>
        <v>Clean</v>
      </c>
      <c r="V87" s="9" t="str">
        <f aca="false">IF(LEFT(M87,9)="EXCEPTION","Deprovisioning Control Gap",IF(LEFT(S87,9)="EXCEPTION","Segregation of Duties Conflict",IF(LEFT(P87,9)="EXCEPTION","Provisioning Approval Gap",IF(LEFT(T87,9)="EXCEPTION","Recertification Gap","N/A"))))</f>
        <v>N/A</v>
      </c>
    </row>
    <row r="88" customFormat="false" ht="15" hidden="false" customHeight="true" outlineLevel="0" collapsed="false">
      <c r="A88" s="9" t="str">
        <f aca="false">Access_Grants!A88</f>
        <v>AG-0087</v>
      </c>
      <c r="B88" s="9" t="str">
        <f aca="false">Access_Grants!B88</f>
        <v>E026</v>
      </c>
      <c r="C88" s="9" t="str">
        <f aca="false">Access_Grants!C88</f>
        <v>Grace Braga</v>
      </c>
      <c r="D88" s="9" t="str">
        <f aca="false">Access_Grants!D88</f>
        <v>Procurement</v>
      </c>
      <c r="E88" s="9" t="str">
        <f aca="false">Access_Grants!E88</f>
        <v>SYS-BANK</v>
      </c>
      <c r="F88" s="9" t="str">
        <f aca="false">Access_Grants!F88</f>
        <v>R13</v>
      </c>
      <c r="G88" s="9" t="str">
        <f aca="false">Access_Grants!G88</f>
        <v>Wire Initiation</v>
      </c>
      <c r="H88" s="9" t="str">
        <f aca="false">Access_Grants!H88</f>
        <v>Write</v>
      </c>
      <c r="I88" s="9" t="str">
        <f aca="false">Access_Grants!L88</f>
        <v>Active</v>
      </c>
      <c r="J88" s="10" t="n">
        <f aca="false">Access_Grants!I88</f>
        <v>45649</v>
      </c>
      <c r="K88" s="10" t="n">
        <f aca="false">IFERROR(INDEX(HR_Employees!$F$2:$F$51,MATCH(B88,HR_Employees!$A$2:$A$51,0)),"")</f>
        <v>0</v>
      </c>
      <c r="L88" s="10" t="str">
        <f aca="false">IF(Access_Grants!M88="","",Access_Grants!M88)</f>
        <v/>
      </c>
      <c r="M88" s="9" t="str">
        <f aca="false">IF(K88="","N/A - Active Employee",IF(OR(I88="Active",AND(L88&lt;&gt;"",L88&gt;K88+5)),"EXCEPTION: TERMINATED USER - ACCESS NOT REVOKED TIMELY","OK - Revoked Within SLA"))</f>
        <v>N/A - Active Employee</v>
      </c>
      <c r="N88" s="9" t="str">
        <f aca="false">Access_Grants!J88&amp;""</f>
        <v>MGR-05</v>
      </c>
      <c r="O88" s="9" t="str">
        <f aca="false">Access_Grants!K88&amp;""</f>
        <v>CHG-64459</v>
      </c>
      <c r="P88" s="9" t="str">
        <f aca="false">IF(OR(TRIM(N88)="",TRIM(O88)=""),"EXCEPTION: NO DOCUMENTED APPROVAL","OK - Approved")</f>
        <v>OK - Approved</v>
      </c>
      <c r="Q88" s="9" t="str">
        <f aca="false">IFERROR(INDEX(SoD_Conflict_Matrix!$D$2:$D$7,MATCH(F88,SoD_Conflict_Matrix!$B$2:$B$7,0)),IFERROR(INDEX(SoD_Conflict_Matrix!$B$2:$B$7,MATCH(F88,SoD_Conflict_Matrix!$D$2:$D$7,0)),""))</f>
        <v>R14</v>
      </c>
      <c r="R88" s="9" t="str">
        <f aca="false">IFERROR(INDEX(SoD_Conflict_Matrix!$E$2:$E$7,MATCH(F88,SoD_Conflict_Matrix!$B$2:$B$7,0)),IFERROR(INDEX(SoD_Conflict_Matrix!$C$2:$C$7,MATCH(F88,SoD_Conflict_Matrix!$D$2:$D$7,0)),""))</f>
        <v>Wire Approval / Release</v>
      </c>
      <c r="S88" s="9" t="str">
        <f aca="false">IF(Q88="","No Conflict Rule Applies to This Role",IF(COUNTIFS(Access_Grants!$B$2:$B$175,B88,Access_Grants!$F$2:$F$175,Q88,Access_Grants!$L$2:$L$175,"Active")&gt;0,"EXCEPTION: SoD CONFLICT - ALSO HOLDS "&amp;R88,"OK - No Conflicting Role Held"))</f>
        <v>EXCEPTION: SoD CONFLICT - ALSO HOLDS Wire Approval / Release</v>
      </c>
      <c r="T88" s="9" t="str">
        <f aca="false">IF(AND(H88="Admin",I88="Active"),IF(COUNTIFS(Recertifications!$B$2:$B$119,B88,Recertifications!$E$2:$E$119,F88,Recertifications!$K$2:$K$119,"&lt;&gt;")&gt;0,"OK - Recertified","EXCEPTION: PRIVILEGED ACCESS NEVER RECERTIFIED"),"N/A - Not Privileged")</f>
        <v>N/A - Not Privileged</v>
      </c>
      <c r="U88" s="9" t="str">
        <f aca="false">IF(OR(LEFT(M88,9)="EXCEPTION",LEFT(P88,9)="EXCEPTION",LEFT(S88,9)="EXCEPTION",LEFT(T88,9)="EXCEPTION"),"EXCEPTION","Clean")</f>
        <v>EXCEPTION</v>
      </c>
      <c r="V88" s="9" t="str">
        <f aca="false">IF(LEFT(M88,9)="EXCEPTION","Deprovisioning Control Gap",IF(LEFT(S88,9)="EXCEPTION","Segregation of Duties Conflict",IF(LEFT(P88,9)="EXCEPTION","Provisioning Approval Gap",IF(LEFT(T88,9)="EXCEPTION","Recertification Gap","N/A"))))</f>
        <v>Segregation of Duties Conflict</v>
      </c>
    </row>
    <row r="89" customFormat="false" ht="15" hidden="false" customHeight="true" outlineLevel="0" collapsed="false">
      <c r="A89" s="9" t="str">
        <f aca="false">Access_Grants!A89</f>
        <v>AG-0088</v>
      </c>
      <c r="B89" s="9" t="str">
        <f aca="false">Access_Grants!B89</f>
        <v>E026</v>
      </c>
      <c r="C89" s="9" t="str">
        <f aca="false">Access_Grants!C89</f>
        <v>Grace Braga</v>
      </c>
      <c r="D89" s="9" t="str">
        <f aca="false">Access_Grants!D89</f>
        <v>Procurement</v>
      </c>
      <c r="E89" s="9" t="str">
        <f aca="false">Access_Grants!E89</f>
        <v>SYS-BANK</v>
      </c>
      <c r="F89" s="9" t="str">
        <f aca="false">Access_Grants!F89</f>
        <v>R14</v>
      </c>
      <c r="G89" s="9" t="str">
        <f aca="false">Access_Grants!G89</f>
        <v>Wire Approval / Release</v>
      </c>
      <c r="H89" s="9" t="str">
        <f aca="false">Access_Grants!H89</f>
        <v>Admin</v>
      </c>
      <c r="I89" s="9" t="str">
        <f aca="false">Access_Grants!L89</f>
        <v>Active</v>
      </c>
      <c r="J89" s="10" t="n">
        <f aca="false">Access_Grants!I89</f>
        <v>45176</v>
      </c>
      <c r="K89" s="10" t="n">
        <f aca="false">IFERROR(INDEX(HR_Employees!$F$2:$F$51,MATCH(B89,HR_Employees!$A$2:$A$51,0)),"")</f>
        <v>0</v>
      </c>
      <c r="L89" s="10" t="str">
        <f aca="false">IF(Access_Grants!M89="","",Access_Grants!M89)</f>
        <v/>
      </c>
      <c r="M89" s="9" t="str">
        <f aca="false">IF(K89="","N/A - Active Employee",IF(OR(I89="Active",AND(L89&lt;&gt;"",L89&gt;K89+5)),"EXCEPTION: TERMINATED USER - ACCESS NOT REVOKED TIMELY","OK - Revoked Within SLA"))</f>
        <v>N/A - Active Employee</v>
      </c>
      <c r="N89" s="9" t="str">
        <f aca="false">Access_Grants!J89&amp;""</f>
        <v>MGR-08</v>
      </c>
      <c r="O89" s="9" t="str">
        <f aca="false">Access_Grants!K89&amp;""</f>
        <v>CHG-82255</v>
      </c>
      <c r="P89" s="9" t="str">
        <f aca="false">IF(OR(TRIM(N89)="",TRIM(O89)=""),"EXCEPTION: NO DOCUMENTED APPROVAL","OK - Approved")</f>
        <v>OK - Approved</v>
      </c>
      <c r="Q89" s="9" t="str">
        <f aca="false">IFERROR(INDEX(SoD_Conflict_Matrix!$D$2:$D$7,MATCH(F89,SoD_Conflict_Matrix!$B$2:$B$7,0)),IFERROR(INDEX(SoD_Conflict_Matrix!$B$2:$B$7,MATCH(F89,SoD_Conflict_Matrix!$D$2:$D$7,0)),""))</f>
        <v>R13</v>
      </c>
      <c r="R89" s="9" t="str">
        <f aca="false">IFERROR(INDEX(SoD_Conflict_Matrix!$E$2:$E$7,MATCH(F89,SoD_Conflict_Matrix!$B$2:$B$7,0)),IFERROR(INDEX(SoD_Conflict_Matrix!$C$2:$C$7,MATCH(F89,SoD_Conflict_Matrix!$D$2:$D$7,0)),""))</f>
        <v>Wire Initiation</v>
      </c>
      <c r="S89" s="9" t="str">
        <f aca="false">IF(Q89="","No Conflict Rule Applies to This Role",IF(COUNTIFS(Access_Grants!$B$2:$B$175,B89,Access_Grants!$F$2:$F$175,Q89,Access_Grants!$L$2:$L$175,"Active")&gt;0,"EXCEPTION: SoD CONFLICT - ALSO HOLDS "&amp;R89,"OK - No Conflicting Role Held"))</f>
        <v>EXCEPTION: SoD CONFLICT - ALSO HOLDS Wire Initiation</v>
      </c>
      <c r="T89" s="9" t="str">
        <f aca="false">IF(AND(H89="Admin",I89="Active"),IF(COUNTIFS(Recertifications!$B$2:$B$119,B89,Recertifications!$E$2:$E$119,F89,Recertifications!$K$2:$K$119,"&lt;&gt;")&gt;0,"OK - Recertified","EXCEPTION: PRIVILEGED ACCESS NEVER RECERTIFIED"),"N/A - Not Privileged")</f>
        <v>EXCEPTION: PRIVILEGED ACCESS NEVER RECERTIFIED</v>
      </c>
      <c r="U89" s="9" t="str">
        <f aca="false">IF(OR(LEFT(M89,9)="EXCEPTION",LEFT(P89,9)="EXCEPTION",LEFT(S89,9)="EXCEPTION",LEFT(T89,9)="EXCEPTION"),"EXCEPTION","Clean")</f>
        <v>EXCEPTION</v>
      </c>
      <c r="V89" s="9" t="str">
        <f aca="false">IF(LEFT(M89,9)="EXCEPTION","Deprovisioning Control Gap",IF(LEFT(S89,9)="EXCEPTION","Segregation of Duties Conflict",IF(LEFT(P89,9)="EXCEPTION","Provisioning Approval Gap",IF(LEFT(T89,9)="EXCEPTION","Recertification Gap","N/A"))))</f>
        <v>Segregation of Duties Conflict</v>
      </c>
    </row>
    <row r="90" customFormat="false" ht="15" hidden="false" customHeight="true" outlineLevel="0" collapsed="false">
      <c r="A90" s="9" t="str">
        <f aca="false">Access_Grants!A90</f>
        <v>AG-0089</v>
      </c>
      <c r="B90" s="9" t="str">
        <f aca="false">Access_Grants!B90</f>
        <v>E027</v>
      </c>
      <c r="C90" s="9" t="str">
        <f aca="false">Access_Grants!C90</f>
        <v>Laura Khan</v>
      </c>
      <c r="D90" s="9" t="str">
        <f aca="false">Access_Grants!D90</f>
        <v>Procurement</v>
      </c>
      <c r="E90" s="9" t="str">
        <f aca="false">Access_Grants!E90</f>
        <v>SYS-AD</v>
      </c>
      <c r="F90" s="9" t="str">
        <f aca="false">Access_Grants!F90</f>
        <v>R09</v>
      </c>
      <c r="G90" s="9" t="str">
        <f aca="false">Access_Grants!G90</f>
        <v>Standard Network User</v>
      </c>
      <c r="H90" s="9" t="str">
        <f aca="false">Access_Grants!H90</f>
        <v>Read</v>
      </c>
      <c r="I90" s="9" t="str">
        <f aca="false">Access_Grants!L90</f>
        <v>Active</v>
      </c>
      <c r="J90" s="10" t="n">
        <f aca="false">Access_Grants!I90</f>
        <v>46121</v>
      </c>
      <c r="K90" s="10" t="n">
        <f aca="false">IFERROR(INDEX(HR_Employees!$F$2:$F$51,MATCH(B90,HR_Employees!$A$2:$A$51,0)),"")</f>
        <v>45888</v>
      </c>
      <c r="L90" s="10" t="str">
        <f aca="false">IF(Access_Grants!M90="","",Access_Grants!M90)</f>
        <v/>
      </c>
      <c r="M90" s="9" t="str">
        <f aca="false">IF(K90="","N/A - Active Employee",IF(OR(I90="Active",AND(L90&lt;&gt;"",L90&gt;K90+5)),"EXCEPTION: TERMINATED USER - ACCESS NOT REVOKED TIMELY","OK - Revoked Within SLA"))</f>
        <v>EXCEPTION: TERMINATED USER - ACCESS NOT REVOKED TIMELY</v>
      </c>
      <c r="N90" s="9" t="str">
        <f aca="false">Access_Grants!J90&amp;""</f>
        <v>MGR-09</v>
      </c>
      <c r="O90" s="9" t="str">
        <f aca="false">Access_Grants!K90&amp;""</f>
        <v>CHG-45018</v>
      </c>
      <c r="P90" s="9" t="str">
        <f aca="false">IF(OR(TRIM(N90)="",TRIM(O90)=""),"EXCEPTION: NO DOCUMENTED APPROVAL","OK - Approved")</f>
        <v>OK - Approved</v>
      </c>
      <c r="Q90" s="9" t="str">
        <f aca="false">IFERROR(INDEX(SoD_Conflict_Matrix!$D$2:$D$7,MATCH(F90,SoD_Conflict_Matrix!$B$2:$B$7,0)),IFERROR(INDEX(SoD_Conflict_Matrix!$B$2:$B$7,MATCH(F90,SoD_Conflict_Matrix!$D$2:$D$7,0)),""))</f>
        <v/>
      </c>
      <c r="R90" s="9" t="str">
        <f aca="false">IFERROR(INDEX(SoD_Conflict_Matrix!$E$2:$E$7,MATCH(F90,SoD_Conflict_Matrix!$B$2:$B$7,0)),IFERROR(INDEX(SoD_Conflict_Matrix!$C$2:$C$7,MATCH(F90,SoD_Conflict_Matrix!$D$2:$D$7,0)),""))</f>
        <v/>
      </c>
      <c r="S90" s="9" t="str">
        <f aca="false">IF(Q90="","No Conflict Rule Applies to This Role",IF(COUNTIFS(Access_Grants!$B$2:$B$175,B90,Access_Grants!$F$2:$F$175,Q90,Access_Grants!$L$2:$L$175,"Active")&gt;0,"EXCEPTION: SoD CONFLICT - ALSO HOLDS "&amp;R90,"OK - No Conflicting Role Held"))</f>
        <v>No Conflict Rule Applies to This Role</v>
      </c>
      <c r="T90" s="9" t="str">
        <f aca="false">IF(AND(H90="Admin",I90="Active"),IF(COUNTIFS(Recertifications!$B$2:$B$119,B90,Recertifications!$E$2:$E$119,F90,Recertifications!$K$2:$K$119,"&lt;&gt;")&gt;0,"OK - Recertified","EXCEPTION: PRIVILEGED ACCESS NEVER RECERTIFIED"),"N/A - Not Privileged")</f>
        <v>N/A - Not Privileged</v>
      </c>
      <c r="U90" s="9" t="str">
        <f aca="false">IF(OR(LEFT(M90,9)="EXCEPTION",LEFT(P90,9)="EXCEPTION",LEFT(S90,9)="EXCEPTION",LEFT(T90,9)="EXCEPTION"),"EXCEPTION","Clean")</f>
        <v>EXCEPTION</v>
      </c>
      <c r="V90" s="9" t="str">
        <f aca="false">IF(LEFT(M90,9)="EXCEPTION","Deprovisioning Control Gap",IF(LEFT(S90,9)="EXCEPTION","Segregation of Duties Conflict",IF(LEFT(P90,9)="EXCEPTION","Provisioning Approval Gap",IF(LEFT(T90,9)="EXCEPTION","Recertification Gap","N/A"))))</f>
        <v>Deprovisioning Control Gap</v>
      </c>
    </row>
    <row r="91" customFormat="false" ht="15" hidden="false" customHeight="true" outlineLevel="0" collapsed="false">
      <c r="A91" s="9" t="str">
        <f aca="false">Access_Grants!A91</f>
        <v>AG-0090</v>
      </c>
      <c r="B91" s="9" t="str">
        <f aca="false">Access_Grants!B91</f>
        <v>E027</v>
      </c>
      <c r="C91" s="9" t="str">
        <f aca="false">Access_Grants!C91</f>
        <v>Laura Khan</v>
      </c>
      <c r="D91" s="9" t="str">
        <f aca="false">Access_Grants!D91</f>
        <v>Procurement</v>
      </c>
      <c r="E91" s="9" t="str">
        <f aca="false">Access_Grants!E91</f>
        <v>SYS-ERP</v>
      </c>
      <c r="F91" s="9" t="str">
        <f aca="false">Access_Grants!F91</f>
        <v>R01</v>
      </c>
      <c r="G91" s="9" t="str">
        <f aca="false">Access_Grants!G91</f>
        <v>AP Invoice Entry</v>
      </c>
      <c r="H91" s="9" t="str">
        <f aca="false">Access_Grants!H91</f>
        <v>Write</v>
      </c>
      <c r="I91" s="9" t="str">
        <f aca="false">Access_Grants!L91</f>
        <v>Revoked</v>
      </c>
      <c r="J91" s="10" t="n">
        <f aca="false">Access_Grants!I91</f>
        <v>45620</v>
      </c>
      <c r="K91" s="10" t="n">
        <f aca="false">IFERROR(INDEX(HR_Employees!$F$2:$F$51,MATCH(B91,HR_Employees!$A$2:$A$51,0)),"")</f>
        <v>45888</v>
      </c>
      <c r="L91" s="10" t="n">
        <f aca="false">IF(Access_Grants!M91="","",Access_Grants!M91)</f>
        <v>45890</v>
      </c>
      <c r="M91" s="9" t="str">
        <f aca="false">IF(K91="","N/A - Active Employee",IF(OR(I91="Active",AND(L91&lt;&gt;"",L91&gt;K91+5)),"EXCEPTION: TERMINATED USER - ACCESS NOT REVOKED TIMELY","OK - Revoked Within SLA"))</f>
        <v>OK - Revoked Within SLA</v>
      </c>
      <c r="N91" s="9" t="str">
        <f aca="false">Access_Grants!J91&amp;""</f>
        <v>MGR-10</v>
      </c>
      <c r="O91" s="9" t="str">
        <f aca="false">Access_Grants!K91&amp;""</f>
        <v>CHG-86011</v>
      </c>
      <c r="P91" s="9" t="str">
        <f aca="false">IF(OR(TRIM(N91)="",TRIM(O91)=""),"EXCEPTION: NO DOCUMENTED APPROVAL","OK - Approved")</f>
        <v>OK - Approved</v>
      </c>
      <c r="Q91" s="9" t="str">
        <f aca="false">IFERROR(INDEX(SoD_Conflict_Matrix!$D$2:$D$7,MATCH(F91,SoD_Conflict_Matrix!$B$2:$B$7,0)),IFERROR(INDEX(SoD_Conflict_Matrix!$B$2:$B$7,MATCH(F91,SoD_Conflict_Matrix!$D$2:$D$7,0)),""))</f>
        <v>R02</v>
      </c>
      <c r="R91" s="9" t="str">
        <f aca="false">IFERROR(INDEX(SoD_Conflict_Matrix!$E$2:$E$7,MATCH(F91,SoD_Conflict_Matrix!$B$2:$B$7,0)),IFERROR(INDEX(SoD_Conflict_Matrix!$C$2:$C$7,MATCH(F91,SoD_Conflict_Matrix!$D$2:$D$7,0)),""))</f>
        <v>AP Payment Approval</v>
      </c>
      <c r="S91" s="9" t="str">
        <f aca="false">IF(Q91="","No Conflict Rule Applies to This Role",IF(COUNTIFS(Access_Grants!$B$2:$B$175,B91,Access_Grants!$F$2:$F$175,Q91,Access_Grants!$L$2:$L$175,"Active")&gt;0,"EXCEPTION: SoD CONFLICT - ALSO HOLDS "&amp;R91,"OK - No Conflicting Role Held"))</f>
        <v>OK - No Conflicting Role Held</v>
      </c>
      <c r="T91" s="9" t="str">
        <f aca="false">IF(AND(H91="Admin",I91="Active"),IF(COUNTIFS(Recertifications!$B$2:$B$119,B91,Recertifications!$E$2:$E$119,F91,Recertifications!$K$2:$K$119,"&lt;&gt;")&gt;0,"OK - Recertified","EXCEPTION: PRIVILEGED ACCESS NEVER RECERTIFIED"),"N/A - Not Privileged")</f>
        <v>N/A - Not Privileged</v>
      </c>
      <c r="U91" s="9" t="str">
        <f aca="false">IF(OR(LEFT(M91,9)="EXCEPTION",LEFT(P91,9)="EXCEPTION",LEFT(S91,9)="EXCEPTION",LEFT(T91,9)="EXCEPTION"),"EXCEPTION","Clean")</f>
        <v>Clean</v>
      </c>
      <c r="V91" s="9" t="str">
        <f aca="false">IF(LEFT(M91,9)="EXCEPTION","Deprovisioning Control Gap",IF(LEFT(S91,9)="EXCEPTION","Segregation of Duties Conflict",IF(LEFT(P91,9)="EXCEPTION","Provisioning Approval Gap",IF(LEFT(T91,9)="EXCEPTION","Recertification Gap","N/A"))))</f>
        <v>N/A</v>
      </c>
    </row>
    <row r="92" customFormat="false" ht="15" hidden="false" customHeight="true" outlineLevel="0" collapsed="false">
      <c r="A92" s="9" t="str">
        <f aca="false">Access_Grants!A92</f>
        <v>AG-0091</v>
      </c>
      <c r="B92" s="9" t="str">
        <f aca="false">Access_Grants!B92</f>
        <v>E027</v>
      </c>
      <c r="C92" s="9" t="str">
        <f aca="false">Access_Grants!C92</f>
        <v>Laura Khan</v>
      </c>
      <c r="D92" s="9" t="str">
        <f aca="false">Access_Grants!D92</f>
        <v>Procurement</v>
      </c>
      <c r="E92" s="9" t="str">
        <f aca="false">Access_Grants!E92</f>
        <v>SYS-ERP</v>
      </c>
      <c r="F92" s="9" t="str">
        <f aca="false">Access_Grants!F92</f>
        <v>R03</v>
      </c>
      <c r="G92" s="9" t="str">
        <f aca="false">Access_Grants!G92</f>
        <v>Vendor Master Maintenance</v>
      </c>
      <c r="H92" s="9" t="str">
        <f aca="false">Access_Grants!H92</f>
        <v>Write</v>
      </c>
      <c r="I92" s="9" t="str">
        <f aca="false">Access_Grants!L92</f>
        <v>Revoked</v>
      </c>
      <c r="J92" s="10" t="n">
        <f aca="false">Access_Grants!I92</f>
        <v>45772</v>
      </c>
      <c r="K92" s="10" t="n">
        <f aca="false">IFERROR(INDEX(HR_Employees!$F$2:$F$51,MATCH(B92,HR_Employees!$A$2:$A$51,0)),"")</f>
        <v>45888</v>
      </c>
      <c r="L92" s="10" t="n">
        <f aca="false">IF(Access_Grants!M92="","",Access_Grants!M92)</f>
        <v>45892</v>
      </c>
      <c r="M92" s="9" t="str">
        <f aca="false">IF(K92="","N/A - Active Employee",IF(OR(I92="Active",AND(L92&lt;&gt;"",L92&gt;K92+5)),"EXCEPTION: TERMINATED USER - ACCESS NOT REVOKED TIMELY","OK - Revoked Within SLA"))</f>
        <v>OK - Revoked Within SLA</v>
      </c>
      <c r="N92" s="9" t="str">
        <f aca="false">Access_Grants!J92&amp;""</f>
        <v>MGR-09</v>
      </c>
      <c r="O92" s="9" t="str">
        <f aca="false">Access_Grants!K92&amp;""</f>
        <v>CHG-73483</v>
      </c>
      <c r="P92" s="9" t="str">
        <f aca="false">IF(OR(TRIM(N92)="",TRIM(O92)=""),"EXCEPTION: NO DOCUMENTED APPROVAL","OK - Approved")</f>
        <v>OK - Approved</v>
      </c>
      <c r="Q92" s="9" t="str">
        <f aca="false">IFERROR(INDEX(SoD_Conflict_Matrix!$D$2:$D$7,MATCH(F92,SoD_Conflict_Matrix!$B$2:$B$7,0)),IFERROR(INDEX(SoD_Conflict_Matrix!$B$2:$B$7,MATCH(F92,SoD_Conflict_Matrix!$D$2:$D$7,0)),""))</f>
        <v>R02</v>
      </c>
      <c r="R92" s="9" t="str">
        <f aca="false">IFERROR(INDEX(SoD_Conflict_Matrix!$E$2:$E$7,MATCH(F92,SoD_Conflict_Matrix!$B$2:$B$7,0)),IFERROR(INDEX(SoD_Conflict_Matrix!$C$2:$C$7,MATCH(F92,SoD_Conflict_Matrix!$D$2:$D$7,0)),""))</f>
        <v>AP Payment Approval</v>
      </c>
      <c r="S92" s="9" t="str">
        <f aca="false">IF(Q92="","No Conflict Rule Applies to This Role",IF(COUNTIFS(Access_Grants!$B$2:$B$175,B92,Access_Grants!$F$2:$F$175,Q92,Access_Grants!$L$2:$L$175,"Active")&gt;0,"EXCEPTION: SoD CONFLICT - ALSO HOLDS "&amp;R92,"OK - No Conflicting Role Held"))</f>
        <v>OK - No Conflicting Role Held</v>
      </c>
      <c r="T92" s="9" t="str">
        <f aca="false">IF(AND(H92="Admin",I92="Active"),IF(COUNTIFS(Recertifications!$B$2:$B$119,B92,Recertifications!$E$2:$E$119,F92,Recertifications!$K$2:$K$119,"&lt;&gt;")&gt;0,"OK - Recertified","EXCEPTION: PRIVILEGED ACCESS NEVER RECERTIFIED"),"N/A - Not Privileged")</f>
        <v>N/A - Not Privileged</v>
      </c>
      <c r="U92" s="9" t="str">
        <f aca="false">IF(OR(LEFT(M92,9)="EXCEPTION",LEFT(P92,9)="EXCEPTION",LEFT(S92,9)="EXCEPTION",LEFT(T92,9)="EXCEPTION"),"EXCEPTION","Clean")</f>
        <v>Clean</v>
      </c>
      <c r="V92" s="9" t="str">
        <f aca="false">IF(LEFT(M92,9)="EXCEPTION","Deprovisioning Control Gap",IF(LEFT(S92,9)="EXCEPTION","Segregation of Duties Conflict",IF(LEFT(P92,9)="EXCEPTION","Provisioning Approval Gap",IF(LEFT(T92,9)="EXCEPTION","Recertification Gap","N/A"))))</f>
        <v>N/A</v>
      </c>
    </row>
    <row r="93" customFormat="false" ht="15" hidden="false" customHeight="true" outlineLevel="0" collapsed="false">
      <c r="A93" s="9" t="str">
        <f aca="false">Access_Grants!A93</f>
        <v>AG-0092</v>
      </c>
      <c r="B93" s="9" t="str">
        <f aca="false">Access_Grants!B93</f>
        <v>E027</v>
      </c>
      <c r="C93" s="9" t="str">
        <f aca="false">Access_Grants!C93</f>
        <v>Laura Khan</v>
      </c>
      <c r="D93" s="9" t="str">
        <f aca="false">Access_Grants!D93</f>
        <v>Procurement</v>
      </c>
      <c r="E93" s="9" t="str">
        <f aca="false">Access_Grants!E93</f>
        <v>SYS-HRIS</v>
      </c>
      <c r="F93" s="9" t="str">
        <f aca="false">Access_Grants!F93</f>
        <v>R08</v>
      </c>
      <c r="G93" s="9" t="str">
        <f aca="false">Access_Grants!G93</f>
        <v>Employee Master Read-Only</v>
      </c>
      <c r="H93" s="9" t="str">
        <f aca="false">Access_Grants!H93</f>
        <v>Read</v>
      </c>
      <c r="I93" s="9" t="str">
        <f aca="false">Access_Grants!L93</f>
        <v>Revoked</v>
      </c>
      <c r="J93" s="10" t="n">
        <f aca="false">Access_Grants!I93</f>
        <v>45701</v>
      </c>
      <c r="K93" s="10" t="n">
        <f aca="false">IFERROR(INDEX(HR_Employees!$F$2:$F$51,MATCH(B93,HR_Employees!$A$2:$A$51,0)),"")</f>
        <v>45888</v>
      </c>
      <c r="L93" s="10" t="n">
        <f aca="false">IF(Access_Grants!M93="","",Access_Grants!M93)</f>
        <v>45890</v>
      </c>
      <c r="M93" s="9" t="str">
        <f aca="false">IF(K93="","N/A - Active Employee",IF(OR(I93="Active",AND(L93&lt;&gt;"",L93&gt;K93+5)),"EXCEPTION: TERMINATED USER - ACCESS NOT REVOKED TIMELY","OK - Revoked Within SLA"))</f>
        <v>OK - Revoked Within SLA</v>
      </c>
      <c r="N93" s="9" t="str">
        <f aca="false">Access_Grants!J93&amp;""</f>
        <v>MGR-08</v>
      </c>
      <c r="O93" s="9" t="str">
        <f aca="false">Access_Grants!K93&amp;""</f>
        <v>CHG-52176</v>
      </c>
      <c r="P93" s="9" t="str">
        <f aca="false">IF(OR(TRIM(N93)="",TRIM(O93)=""),"EXCEPTION: NO DOCUMENTED APPROVAL","OK - Approved")</f>
        <v>OK - Approved</v>
      </c>
      <c r="Q93" s="9" t="str">
        <f aca="false">IFERROR(INDEX(SoD_Conflict_Matrix!$D$2:$D$7,MATCH(F93,SoD_Conflict_Matrix!$B$2:$B$7,0)),IFERROR(INDEX(SoD_Conflict_Matrix!$B$2:$B$7,MATCH(F93,SoD_Conflict_Matrix!$D$2:$D$7,0)),""))</f>
        <v/>
      </c>
      <c r="R93" s="9" t="str">
        <f aca="false">IFERROR(INDEX(SoD_Conflict_Matrix!$E$2:$E$7,MATCH(F93,SoD_Conflict_Matrix!$B$2:$B$7,0)),IFERROR(INDEX(SoD_Conflict_Matrix!$C$2:$C$7,MATCH(F93,SoD_Conflict_Matrix!$D$2:$D$7,0)),""))</f>
        <v/>
      </c>
      <c r="S93" s="9" t="str">
        <f aca="false">IF(Q93="","No Conflict Rule Applies to This Role",IF(COUNTIFS(Access_Grants!$B$2:$B$175,B93,Access_Grants!$F$2:$F$175,Q93,Access_Grants!$L$2:$L$175,"Active")&gt;0,"EXCEPTION: SoD CONFLICT - ALSO HOLDS "&amp;R93,"OK - No Conflicting Role Held"))</f>
        <v>No Conflict Rule Applies to This Role</v>
      </c>
      <c r="T93" s="9" t="str">
        <f aca="false">IF(AND(H93="Admin",I93="Active"),IF(COUNTIFS(Recertifications!$B$2:$B$119,B93,Recertifications!$E$2:$E$119,F93,Recertifications!$K$2:$K$119,"&lt;&gt;")&gt;0,"OK - Recertified","EXCEPTION: PRIVILEGED ACCESS NEVER RECERTIFIED"),"N/A - Not Privileged")</f>
        <v>N/A - Not Privileged</v>
      </c>
      <c r="U93" s="9" t="str">
        <f aca="false">IF(OR(LEFT(M93,9)="EXCEPTION",LEFT(P93,9)="EXCEPTION",LEFT(S93,9)="EXCEPTION",LEFT(T93,9)="EXCEPTION"),"EXCEPTION","Clean")</f>
        <v>Clean</v>
      </c>
      <c r="V93" s="9" t="str">
        <f aca="false">IF(LEFT(M93,9)="EXCEPTION","Deprovisioning Control Gap",IF(LEFT(S93,9)="EXCEPTION","Segregation of Duties Conflict",IF(LEFT(P93,9)="EXCEPTION","Provisioning Approval Gap",IF(LEFT(T93,9)="EXCEPTION","Recertification Gap","N/A"))))</f>
        <v>N/A</v>
      </c>
    </row>
    <row r="94" customFormat="false" ht="15" hidden="false" customHeight="true" outlineLevel="0" collapsed="false">
      <c r="A94" s="9" t="str">
        <f aca="false">Access_Grants!A94</f>
        <v>AG-0093</v>
      </c>
      <c r="B94" s="9" t="str">
        <f aca="false">Access_Grants!B94</f>
        <v>E028</v>
      </c>
      <c r="C94" s="9" t="str">
        <f aca="false">Access_Grants!C94</f>
        <v>Maria Haruki</v>
      </c>
      <c r="D94" s="9" t="str">
        <f aca="false">Access_Grants!D94</f>
        <v>Procurement</v>
      </c>
      <c r="E94" s="9" t="str">
        <f aca="false">Access_Grants!E94</f>
        <v>SYS-ERP</v>
      </c>
      <c r="F94" s="9" t="str">
        <f aca="false">Access_Grants!F94</f>
        <v>R03</v>
      </c>
      <c r="G94" s="9" t="str">
        <f aca="false">Access_Grants!G94</f>
        <v>Vendor Master Maintenance</v>
      </c>
      <c r="H94" s="9" t="str">
        <f aca="false">Access_Grants!H94</f>
        <v>Write</v>
      </c>
      <c r="I94" s="9" t="str">
        <f aca="false">Access_Grants!L94</f>
        <v>Active</v>
      </c>
      <c r="J94" s="10" t="n">
        <f aca="false">Access_Grants!I94</f>
        <v>45411</v>
      </c>
      <c r="K94" s="10" t="n">
        <f aca="false">IFERROR(INDEX(HR_Employees!$F$2:$F$51,MATCH(B94,HR_Employees!$A$2:$A$51,0)),"")</f>
        <v>0</v>
      </c>
      <c r="L94" s="10" t="str">
        <f aca="false">IF(Access_Grants!M94="","",Access_Grants!M94)</f>
        <v/>
      </c>
      <c r="M94" s="9" t="str">
        <f aca="false">IF(K94="","N/A - Active Employee",IF(OR(I94="Active",AND(L94&lt;&gt;"",L94&gt;K94+5)),"EXCEPTION: TERMINATED USER - ACCESS NOT REVOKED TIMELY","OK - Revoked Within SLA"))</f>
        <v>N/A - Active Employee</v>
      </c>
      <c r="N94" s="9" t="str">
        <f aca="false">Access_Grants!J94&amp;""</f>
        <v>MGR-07</v>
      </c>
      <c r="O94" s="9" t="str">
        <f aca="false">Access_Grants!K94&amp;""</f>
        <v>CHG-60604</v>
      </c>
      <c r="P94" s="9" t="str">
        <f aca="false">IF(OR(TRIM(N94)="",TRIM(O94)=""),"EXCEPTION: NO DOCUMENTED APPROVAL","OK - Approved")</f>
        <v>OK - Approved</v>
      </c>
      <c r="Q94" s="9" t="str">
        <f aca="false">IFERROR(INDEX(SoD_Conflict_Matrix!$D$2:$D$7,MATCH(F94,SoD_Conflict_Matrix!$B$2:$B$7,0)),IFERROR(INDEX(SoD_Conflict_Matrix!$B$2:$B$7,MATCH(F94,SoD_Conflict_Matrix!$D$2:$D$7,0)),""))</f>
        <v>R02</v>
      </c>
      <c r="R94" s="9" t="str">
        <f aca="false">IFERROR(INDEX(SoD_Conflict_Matrix!$E$2:$E$7,MATCH(F94,SoD_Conflict_Matrix!$B$2:$B$7,0)),IFERROR(INDEX(SoD_Conflict_Matrix!$C$2:$C$7,MATCH(F94,SoD_Conflict_Matrix!$D$2:$D$7,0)),""))</f>
        <v>AP Payment Approval</v>
      </c>
      <c r="S94" s="9" t="str">
        <f aca="false">IF(Q94="","No Conflict Rule Applies to This Role",IF(COUNTIFS(Access_Grants!$B$2:$B$175,B94,Access_Grants!$F$2:$F$175,Q94,Access_Grants!$L$2:$L$175,"Active")&gt;0,"EXCEPTION: SoD CONFLICT - ALSO HOLDS "&amp;R94,"OK - No Conflicting Role Held"))</f>
        <v>OK - No Conflicting Role Held</v>
      </c>
      <c r="T94" s="9" t="str">
        <f aca="false">IF(AND(H94="Admin",I94="Active"),IF(COUNTIFS(Recertifications!$B$2:$B$119,B94,Recertifications!$E$2:$E$119,F94,Recertifications!$K$2:$K$119,"&lt;&gt;")&gt;0,"OK - Recertified","EXCEPTION: PRIVILEGED ACCESS NEVER RECERTIFIED"),"N/A - Not Privileged")</f>
        <v>N/A - Not Privileged</v>
      </c>
      <c r="U94" s="9" t="str">
        <f aca="false">IF(OR(LEFT(M94,9)="EXCEPTION",LEFT(P94,9)="EXCEPTION",LEFT(S94,9)="EXCEPTION",LEFT(T94,9)="EXCEPTION"),"EXCEPTION","Clean")</f>
        <v>Clean</v>
      </c>
      <c r="V94" s="9" t="str">
        <f aca="false">IF(LEFT(M94,9)="EXCEPTION","Deprovisioning Control Gap",IF(LEFT(S94,9)="EXCEPTION","Segregation of Duties Conflict",IF(LEFT(P94,9)="EXCEPTION","Provisioning Approval Gap",IF(LEFT(T94,9)="EXCEPTION","Recertification Gap","N/A"))))</f>
        <v>N/A</v>
      </c>
    </row>
    <row r="95" customFormat="false" ht="15" hidden="false" customHeight="true" outlineLevel="0" collapsed="false">
      <c r="A95" s="9" t="str">
        <f aca="false">Access_Grants!A95</f>
        <v>AG-0094</v>
      </c>
      <c r="B95" s="9" t="str">
        <f aca="false">Access_Grants!B95</f>
        <v>E028</v>
      </c>
      <c r="C95" s="9" t="str">
        <f aca="false">Access_Grants!C95</f>
        <v>Maria Haruki</v>
      </c>
      <c r="D95" s="9" t="str">
        <f aca="false">Access_Grants!D95</f>
        <v>Procurement</v>
      </c>
      <c r="E95" s="9" t="str">
        <f aca="false">Access_Grants!E95</f>
        <v>SYS-ERP</v>
      </c>
      <c r="F95" s="9" t="str">
        <f aca="false">Access_Grants!F95</f>
        <v>R01</v>
      </c>
      <c r="G95" s="9" t="str">
        <f aca="false">Access_Grants!G95</f>
        <v>AP Invoice Entry</v>
      </c>
      <c r="H95" s="9" t="str">
        <f aca="false">Access_Grants!H95</f>
        <v>Write</v>
      </c>
      <c r="I95" s="9" t="str">
        <f aca="false">Access_Grants!L95</f>
        <v>Active</v>
      </c>
      <c r="J95" s="10" t="n">
        <f aca="false">Access_Grants!I95</f>
        <v>45594</v>
      </c>
      <c r="K95" s="10" t="n">
        <f aca="false">IFERROR(INDEX(HR_Employees!$F$2:$F$51,MATCH(B95,HR_Employees!$A$2:$A$51,0)),"")</f>
        <v>0</v>
      </c>
      <c r="L95" s="10" t="str">
        <f aca="false">IF(Access_Grants!M95="","",Access_Grants!M95)</f>
        <v/>
      </c>
      <c r="M95" s="9" t="str">
        <f aca="false">IF(K95="","N/A - Active Employee",IF(OR(I95="Active",AND(L95&lt;&gt;"",L95&gt;K95+5)),"EXCEPTION: TERMINATED USER - ACCESS NOT REVOKED TIMELY","OK - Revoked Within SLA"))</f>
        <v>N/A - Active Employee</v>
      </c>
      <c r="N95" s="9" t="str">
        <f aca="false">Access_Grants!J95&amp;""</f>
        <v>MGR-03</v>
      </c>
      <c r="O95" s="9" t="str">
        <f aca="false">Access_Grants!K95&amp;""</f>
        <v>CHG-74923</v>
      </c>
      <c r="P95" s="9" t="str">
        <f aca="false">IF(OR(TRIM(N95)="",TRIM(O95)=""),"EXCEPTION: NO DOCUMENTED APPROVAL","OK - Approved")</f>
        <v>OK - Approved</v>
      </c>
      <c r="Q95" s="9" t="str">
        <f aca="false">IFERROR(INDEX(SoD_Conflict_Matrix!$D$2:$D$7,MATCH(F95,SoD_Conflict_Matrix!$B$2:$B$7,0)),IFERROR(INDEX(SoD_Conflict_Matrix!$B$2:$B$7,MATCH(F95,SoD_Conflict_Matrix!$D$2:$D$7,0)),""))</f>
        <v>R02</v>
      </c>
      <c r="R95" s="9" t="str">
        <f aca="false">IFERROR(INDEX(SoD_Conflict_Matrix!$E$2:$E$7,MATCH(F95,SoD_Conflict_Matrix!$B$2:$B$7,0)),IFERROR(INDEX(SoD_Conflict_Matrix!$C$2:$C$7,MATCH(F95,SoD_Conflict_Matrix!$D$2:$D$7,0)),""))</f>
        <v>AP Payment Approval</v>
      </c>
      <c r="S95" s="9" t="str">
        <f aca="false">IF(Q95="","No Conflict Rule Applies to This Role",IF(COUNTIFS(Access_Grants!$B$2:$B$175,B95,Access_Grants!$F$2:$F$175,Q95,Access_Grants!$L$2:$L$175,"Active")&gt;0,"EXCEPTION: SoD CONFLICT - ALSO HOLDS "&amp;R95,"OK - No Conflicting Role Held"))</f>
        <v>OK - No Conflicting Role Held</v>
      </c>
      <c r="T95" s="9" t="str">
        <f aca="false">IF(AND(H95="Admin",I95="Active"),IF(COUNTIFS(Recertifications!$B$2:$B$119,B95,Recertifications!$E$2:$E$119,F95,Recertifications!$K$2:$K$119,"&lt;&gt;")&gt;0,"OK - Recertified","EXCEPTION: PRIVILEGED ACCESS NEVER RECERTIFIED"),"N/A - Not Privileged")</f>
        <v>N/A - Not Privileged</v>
      </c>
      <c r="U95" s="9" t="str">
        <f aca="false">IF(OR(LEFT(M95,9)="EXCEPTION",LEFT(P95,9)="EXCEPTION",LEFT(S95,9)="EXCEPTION",LEFT(T95,9)="EXCEPTION"),"EXCEPTION","Clean")</f>
        <v>Clean</v>
      </c>
      <c r="V95" s="9" t="str">
        <f aca="false">IF(LEFT(M95,9)="EXCEPTION","Deprovisioning Control Gap",IF(LEFT(S95,9)="EXCEPTION","Segregation of Duties Conflict",IF(LEFT(P95,9)="EXCEPTION","Provisioning Approval Gap",IF(LEFT(T95,9)="EXCEPTION","Recertification Gap","N/A"))))</f>
        <v>N/A</v>
      </c>
    </row>
    <row r="96" customFormat="false" ht="15" hidden="false" customHeight="true" outlineLevel="0" collapsed="false">
      <c r="A96" s="9" t="str">
        <f aca="false">Access_Grants!A96</f>
        <v>AG-0095</v>
      </c>
      <c r="B96" s="9" t="str">
        <f aca="false">Access_Grants!B96</f>
        <v>E028</v>
      </c>
      <c r="C96" s="9" t="str">
        <f aca="false">Access_Grants!C96</f>
        <v>Maria Haruki</v>
      </c>
      <c r="D96" s="9" t="str">
        <f aca="false">Access_Grants!D96</f>
        <v>Procurement</v>
      </c>
      <c r="E96" s="9" t="str">
        <f aca="false">Access_Grants!E96</f>
        <v>SYS-AD</v>
      </c>
      <c r="F96" s="9" t="str">
        <f aca="false">Access_Grants!F96</f>
        <v>R09</v>
      </c>
      <c r="G96" s="9" t="str">
        <f aca="false">Access_Grants!G96</f>
        <v>Standard Network User</v>
      </c>
      <c r="H96" s="9" t="str">
        <f aca="false">Access_Grants!H96</f>
        <v>Read</v>
      </c>
      <c r="I96" s="9" t="str">
        <f aca="false">Access_Grants!L96</f>
        <v>Active</v>
      </c>
      <c r="J96" s="10" t="n">
        <f aca="false">Access_Grants!I96</f>
        <v>45531</v>
      </c>
      <c r="K96" s="10" t="n">
        <f aca="false">IFERROR(INDEX(HR_Employees!$F$2:$F$51,MATCH(B96,HR_Employees!$A$2:$A$51,0)),"")</f>
        <v>0</v>
      </c>
      <c r="L96" s="10" t="str">
        <f aca="false">IF(Access_Grants!M96="","",Access_Grants!M96)</f>
        <v/>
      </c>
      <c r="M96" s="9" t="str">
        <f aca="false">IF(K96="","N/A - Active Employee",IF(OR(I96="Active",AND(L96&lt;&gt;"",L96&gt;K96+5)),"EXCEPTION: TERMINATED USER - ACCESS NOT REVOKED TIMELY","OK - Revoked Within SLA"))</f>
        <v>N/A - Active Employee</v>
      </c>
      <c r="N96" s="9" t="str">
        <f aca="false">Access_Grants!J96&amp;""</f>
        <v>MGR-06</v>
      </c>
      <c r="O96" s="9" t="str">
        <f aca="false">Access_Grants!K96&amp;""</f>
        <v>CHG-23154</v>
      </c>
      <c r="P96" s="9" t="str">
        <f aca="false">IF(OR(TRIM(N96)="",TRIM(O96)=""),"EXCEPTION: NO DOCUMENTED APPROVAL","OK - Approved")</f>
        <v>OK - Approved</v>
      </c>
      <c r="Q96" s="9" t="str">
        <f aca="false">IFERROR(INDEX(SoD_Conflict_Matrix!$D$2:$D$7,MATCH(F96,SoD_Conflict_Matrix!$B$2:$B$7,0)),IFERROR(INDEX(SoD_Conflict_Matrix!$B$2:$B$7,MATCH(F96,SoD_Conflict_Matrix!$D$2:$D$7,0)),""))</f>
        <v/>
      </c>
      <c r="R96" s="9" t="str">
        <f aca="false">IFERROR(INDEX(SoD_Conflict_Matrix!$E$2:$E$7,MATCH(F96,SoD_Conflict_Matrix!$B$2:$B$7,0)),IFERROR(INDEX(SoD_Conflict_Matrix!$C$2:$C$7,MATCH(F96,SoD_Conflict_Matrix!$D$2:$D$7,0)),""))</f>
        <v/>
      </c>
      <c r="S96" s="9" t="str">
        <f aca="false">IF(Q96="","No Conflict Rule Applies to This Role",IF(COUNTIFS(Access_Grants!$B$2:$B$175,B96,Access_Grants!$F$2:$F$175,Q96,Access_Grants!$L$2:$L$175,"Active")&gt;0,"EXCEPTION: SoD CONFLICT - ALSO HOLDS "&amp;R96,"OK - No Conflicting Role Held"))</f>
        <v>No Conflict Rule Applies to This Role</v>
      </c>
      <c r="T96" s="9" t="str">
        <f aca="false">IF(AND(H96="Admin",I96="Active"),IF(COUNTIFS(Recertifications!$B$2:$B$119,B96,Recertifications!$E$2:$E$119,F96,Recertifications!$K$2:$K$119,"&lt;&gt;")&gt;0,"OK - Recertified","EXCEPTION: PRIVILEGED ACCESS NEVER RECERTIFIED"),"N/A - Not Privileged")</f>
        <v>N/A - Not Privileged</v>
      </c>
      <c r="U96" s="9" t="str">
        <f aca="false">IF(OR(LEFT(M96,9)="EXCEPTION",LEFT(P96,9)="EXCEPTION",LEFT(S96,9)="EXCEPTION",LEFT(T96,9)="EXCEPTION"),"EXCEPTION","Clean")</f>
        <v>Clean</v>
      </c>
      <c r="V96" s="9" t="str">
        <f aca="false">IF(LEFT(M96,9)="EXCEPTION","Deprovisioning Control Gap",IF(LEFT(S96,9)="EXCEPTION","Segregation of Duties Conflict",IF(LEFT(P96,9)="EXCEPTION","Provisioning Approval Gap",IF(LEFT(T96,9)="EXCEPTION","Recertification Gap","N/A"))))</f>
        <v>N/A</v>
      </c>
    </row>
    <row r="97" customFormat="false" ht="15" hidden="false" customHeight="true" outlineLevel="0" collapsed="false">
      <c r="A97" s="9" t="str">
        <f aca="false">Access_Grants!A97</f>
        <v>AG-0096</v>
      </c>
      <c r="B97" s="9" t="str">
        <f aca="false">Access_Grants!B97</f>
        <v>E028</v>
      </c>
      <c r="C97" s="9" t="str">
        <f aca="false">Access_Grants!C97</f>
        <v>Maria Haruki</v>
      </c>
      <c r="D97" s="9" t="str">
        <f aca="false">Access_Grants!D97</f>
        <v>Procurement</v>
      </c>
      <c r="E97" s="9" t="str">
        <f aca="false">Access_Grants!E97</f>
        <v>SYS-HRIS</v>
      </c>
      <c r="F97" s="9" t="str">
        <f aca="false">Access_Grants!F97</f>
        <v>R08</v>
      </c>
      <c r="G97" s="9" t="str">
        <f aca="false">Access_Grants!G97</f>
        <v>Employee Master Read-Only</v>
      </c>
      <c r="H97" s="9" t="str">
        <f aca="false">Access_Grants!H97</f>
        <v>Read</v>
      </c>
      <c r="I97" s="9" t="str">
        <f aca="false">Access_Grants!L97</f>
        <v>Active</v>
      </c>
      <c r="J97" s="10" t="n">
        <f aca="false">Access_Grants!I97</f>
        <v>45465</v>
      </c>
      <c r="K97" s="10" t="n">
        <f aca="false">IFERROR(INDEX(HR_Employees!$F$2:$F$51,MATCH(B97,HR_Employees!$A$2:$A$51,0)),"")</f>
        <v>0</v>
      </c>
      <c r="L97" s="10" t="str">
        <f aca="false">IF(Access_Grants!M97="","",Access_Grants!M97)</f>
        <v/>
      </c>
      <c r="M97" s="9" t="str">
        <f aca="false">IF(K97="","N/A - Active Employee",IF(OR(I97="Active",AND(L97&lt;&gt;"",L97&gt;K97+5)),"EXCEPTION: TERMINATED USER - ACCESS NOT REVOKED TIMELY","OK - Revoked Within SLA"))</f>
        <v>N/A - Active Employee</v>
      </c>
      <c r="N97" s="9" t="str">
        <f aca="false">Access_Grants!J97&amp;""</f>
        <v>MGR-08</v>
      </c>
      <c r="O97" s="9" t="str">
        <f aca="false">Access_Grants!K97&amp;""</f>
        <v>CHG-12011</v>
      </c>
      <c r="P97" s="9" t="str">
        <f aca="false">IF(OR(TRIM(N97)="",TRIM(O97)=""),"EXCEPTION: NO DOCUMENTED APPROVAL","OK - Approved")</f>
        <v>OK - Approved</v>
      </c>
      <c r="Q97" s="9" t="str">
        <f aca="false">IFERROR(INDEX(SoD_Conflict_Matrix!$D$2:$D$7,MATCH(F97,SoD_Conflict_Matrix!$B$2:$B$7,0)),IFERROR(INDEX(SoD_Conflict_Matrix!$B$2:$B$7,MATCH(F97,SoD_Conflict_Matrix!$D$2:$D$7,0)),""))</f>
        <v/>
      </c>
      <c r="R97" s="9" t="str">
        <f aca="false">IFERROR(INDEX(SoD_Conflict_Matrix!$E$2:$E$7,MATCH(F97,SoD_Conflict_Matrix!$B$2:$B$7,0)),IFERROR(INDEX(SoD_Conflict_Matrix!$C$2:$C$7,MATCH(F97,SoD_Conflict_Matrix!$D$2:$D$7,0)),""))</f>
        <v/>
      </c>
      <c r="S97" s="9" t="str">
        <f aca="false">IF(Q97="","No Conflict Rule Applies to This Role",IF(COUNTIFS(Access_Grants!$B$2:$B$175,B97,Access_Grants!$F$2:$F$175,Q97,Access_Grants!$L$2:$L$175,"Active")&gt;0,"EXCEPTION: SoD CONFLICT - ALSO HOLDS "&amp;R97,"OK - No Conflicting Role Held"))</f>
        <v>No Conflict Rule Applies to This Role</v>
      </c>
      <c r="T97" s="9" t="str">
        <f aca="false">IF(AND(H97="Admin",I97="Active"),IF(COUNTIFS(Recertifications!$B$2:$B$119,B97,Recertifications!$E$2:$E$119,F97,Recertifications!$K$2:$K$119,"&lt;&gt;")&gt;0,"OK - Recertified","EXCEPTION: PRIVILEGED ACCESS NEVER RECERTIFIED"),"N/A - Not Privileged")</f>
        <v>N/A - Not Privileged</v>
      </c>
      <c r="U97" s="9" t="str">
        <f aca="false">IF(OR(LEFT(M97,9)="EXCEPTION",LEFT(P97,9)="EXCEPTION",LEFT(S97,9)="EXCEPTION",LEFT(T97,9)="EXCEPTION"),"EXCEPTION","Clean")</f>
        <v>Clean</v>
      </c>
      <c r="V97" s="9" t="str">
        <f aca="false">IF(LEFT(M97,9)="EXCEPTION","Deprovisioning Control Gap",IF(LEFT(S97,9)="EXCEPTION","Segregation of Duties Conflict",IF(LEFT(P97,9)="EXCEPTION","Provisioning Approval Gap",IF(LEFT(T97,9)="EXCEPTION","Recertification Gap","N/A"))))</f>
        <v>N/A</v>
      </c>
    </row>
    <row r="98" customFormat="false" ht="15" hidden="false" customHeight="true" outlineLevel="0" collapsed="false">
      <c r="A98" s="9" t="str">
        <f aca="false">Access_Grants!A98</f>
        <v>AG-0097</v>
      </c>
      <c r="B98" s="9" t="str">
        <f aca="false">Access_Grants!B98</f>
        <v>E029</v>
      </c>
      <c r="C98" s="9" t="str">
        <f aca="false">Access_Grants!C98</f>
        <v>Carlos Osei</v>
      </c>
      <c r="D98" s="9" t="str">
        <f aca="false">Access_Grants!D98</f>
        <v>Finance</v>
      </c>
      <c r="E98" s="9" t="str">
        <f aca="false">Access_Grants!E98</f>
        <v>SYS-ERP</v>
      </c>
      <c r="F98" s="9" t="str">
        <f aca="false">Access_Grants!F98</f>
        <v>R05</v>
      </c>
      <c r="G98" s="9" t="str">
        <f aca="false">Access_Grants!G98</f>
        <v>GL Journal Approval</v>
      </c>
      <c r="H98" s="9" t="str">
        <f aca="false">Access_Grants!H98</f>
        <v>Admin</v>
      </c>
      <c r="I98" s="9" t="str">
        <f aca="false">Access_Grants!L98</f>
        <v>Revoked</v>
      </c>
      <c r="J98" s="10" t="n">
        <f aca="false">Access_Grants!I98</f>
        <v>45741</v>
      </c>
      <c r="K98" s="10" t="n">
        <f aca="false">IFERROR(INDEX(HR_Employees!$F$2:$F$51,MATCH(B98,HR_Employees!$A$2:$A$51,0)),"")</f>
        <v>45901</v>
      </c>
      <c r="L98" s="10" t="n">
        <f aca="false">IF(Access_Grants!M98="","",Access_Grants!M98)</f>
        <v>45905</v>
      </c>
      <c r="M98" s="9" t="str">
        <f aca="false">IF(K98="","N/A - Active Employee",IF(OR(I98="Active",AND(L98&lt;&gt;"",L98&gt;K98+5)),"EXCEPTION: TERMINATED USER - ACCESS NOT REVOKED TIMELY","OK - Revoked Within SLA"))</f>
        <v>OK - Revoked Within SLA</v>
      </c>
      <c r="N98" s="9" t="str">
        <f aca="false">Access_Grants!J98&amp;""</f>
        <v>System Auto-Provision</v>
      </c>
      <c r="O98" s="9" t="str">
        <f aca="false">Access_Grants!K98&amp;""</f>
        <v>CHG-20527</v>
      </c>
      <c r="P98" s="9" t="str">
        <f aca="false">IF(OR(TRIM(N98)="",TRIM(O98)=""),"EXCEPTION: NO DOCUMENTED APPROVAL","OK - Approved")</f>
        <v>OK - Approved</v>
      </c>
      <c r="Q98" s="9" t="str">
        <f aca="false">IFERROR(INDEX(SoD_Conflict_Matrix!$D$2:$D$7,MATCH(F98,SoD_Conflict_Matrix!$B$2:$B$7,0)),IFERROR(INDEX(SoD_Conflict_Matrix!$B$2:$B$7,MATCH(F98,SoD_Conflict_Matrix!$D$2:$D$7,0)),""))</f>
        <v>R04</v>
      </c>
      <c r="R98" s="9" t="str">
        <f aca="false">IFERROR(INDEX(SoD_Conflict_Matrix!$E$2:$E$7,MATCH(F98,SoD_Conflict_Matrix!$B$2:$B$7,0)),IFERROR(INDEX(SoD_Conflict_Matrix!$C$2:$C$7,MATCH(F98,SoD_Conflict_Matrix!$D$2:$D$7,0)),""))</f>
        <v>GL Journal Posting</v>
      </c>
      <c r="S98" s="9" t="str">
        <f aca="false">IF(Q98="","No Conflict Rule Applies to This Role",IF(COUNTIFS(Access_Grants!$B$2:$B$175,B98,Access_Grants!$F$2:$F$175,Q98,Access_Grants!$L$2:$L$175,"Active")&gt;0,"EXCEPTION: SoD CONFLICT - ALSO HOLDS "&amp;R98,"OK - No Conflicting Role Held"))</f>
        <v>OK - No Conflicting Role Held</v>
      </c>
      <c r="T98" s="9" t="str">
        <f aca="false">IF(AND(H98="Admin",I98="Active"),IF(COUNTIFS(Recertifications!$B$2:$B$119,B98,Recertifications!$E$2:$E$119,F98,Recertifications!$K$2:$K$119,"&lt;&gt;")&gt;0,"OK - Recertified","EXCEPTION: PRIVILEGED ACCESS NEVER RECERTIFIED"),"N/A - Not Privileged")</f>
        <v>N/A - Not Privileged</v>
      </c>
      <c r="U98" s="9" t="str">
        <f aca="false">IF(OR(LEFT(M98,9)="EXCEPTION",LEFT(P98,9)="EXCEPTION",LEFT(S98,9)="EXCEPTION",LEFT(T98,9)="EXCEPTION"),"EXCEPTION","Clean")</f>
        <v>Clean</v>
      </c>
      <c r="V98" s="9" t="str">
        <f aca="false">IF(LEFT(M98,9)="EXCEPTION","Deprovisioning Control Gap",IF(LEFT(S98,9)="EXCEPTION","Segregation of Duties Conflict",IF(LEFT(P98,9)="EXCEPTION","Provisioning Approval Gap",IF(LEFT(T98,9)="EXCEPTION","Recertification Gap","N/A"))))</f>
        <v>N/A</v>
      </c>
    </row>
    <row r="99" customFormat="false" ht="15" hidden="false" customHeight="true" outlineLevel="0" collapsed="false">
      <c r="A99" s="9" t="str">
        <f aca="false">Access_Grants!A99</f>
        <v>AG-0098</v>
      </c>
      <c r="B99" s="9" t="str">
        <f aca="false">Access_Grants!B99</f>
        <v>E029</v>
      </c>
      <c r="C99" s="9" t="str">
        <f aca="false">Access_Grants!C99</f>
        <v>Carlos Osei</v>
      </c>
      <c r="D99" s="9" t="str">
        <f aca="false">Access_Grants!D99</f>
        <v>Finance</v>
      </c>
      <c r="E99" s="9" t="str">
        <f aca="false">Access_Grants!E99</f>
        <v>SYS-ERP</v>
      </c>
      <c r="F99" s="9" t="str">
        <f aca="false">Access_Grants!F99</f>
        <v>R01</v>
      </c>
      <c r="G99" s="9" t="str">
        <f aca="false">Access_Grants!G99</f>
        <v>AP Invoice Entry</v>
      </c>
      <c r="H99" s="9" t="str">
        <f aca="false">Access_Grants!H99</f>
        <v>Write</v>
      </c>
      <c r="I99" s="9" t="str">
        <f aca="false">Access_Grants!L99</f>
        <v>Revoked</v>
      </c>
      <c r="J99" s="10" t="n">
        <f aca="false">Access_Grants!I99</f>
        <v>45705</v>
      </c>
      <c r="K99" s="10" t="n">
        <f aca="false">IFERROR(INDEX(HR_Employees!$F$2:$F$51,MATCH(B99,HR_Employees!$A$2:$A$51,0)),"")</f>
        <v>45901</v>
      </c>
      <c r="L99" s="10" t="n">
        <f aca="false">IF(Access_Grants!M99="","",Access_Grants!M99)</f>
        <v>45905</v>
      </c>
      <c r="M99" s="9" t="str">
        <f aca="false">IF(K99="","N/A - Active Employee",IF(OR(I99="Active",AND(L99&lt;&gt;"",L99&gt;K99+5)),"EXCEPTION: TERMINATED USER - ACCESS NOT REVOKED TIMELY","OK - Revoked Within SLA"))</f>
        <v>OK - Revoked Within SLA</v>
      </c>
      <c r="N99" s="9" t="str">
        <f aca="false">Access_Grants!J99&amp;""</f>
        <v>MGR-06</v>
      </c>
      <c r="O99" s="9" t="str">
        <f aca="false">Access_Grants!K99&amp;""</f>
        <v>CHG-92155</v>
      </c>
      <c r="P99" s="9" t="str">
        <f aca="false">IF(OR(TRIM(N99)="",TRIM(O99)=""),"EXCEPTION: NO DOCUMENTED APPROVAL","OK - Approved")</f>
        <v>OK - Approved</v>
      </c>
      <c r="Q99" s="9" t="str">
        <f aca="false">IFERROR(INDEX(SoD_Conflict_Matrix!$D$2:$D$7,MATCH(F99,SoD_Conflict_Matrix!$B$2:$B$7,0)),IFERROR(INDEX(SoD_Conflict_Matrix!$B$2:$B$7,MATCH(F99,SoD_Conflict_Matrix!$D$2:$D$7,0)),""))</f>
        <v>R02</v>
      </c>
      <c r="R99" s="9" t="str">
        <f aca="false">IFERROR(INDEX(SoD_Conflict_Matrix!$E$2:$E$7,MATCH(F99,SoD_Conflict_Matrix!$B$2:$B$7,0)),IFERROR(INDEX(SoD_Conflict_Matrix!$C$2:$C$7,MATCH(F99,SoD_Conflict_Matrix!$D$2:$D$7,0)),""))</f>
        <v>AP Payment Approval</v>
      </c>
      <c r="S99" s="9" t="str">
        <f aca="false">IF(Q99="","No Conflict Rule Applies to This Role",IF(COUNTIFS(Access_Grants!$B$2:$B$175,B99,Access_Grants!$F$2:$F$175,Q99,Access_Grants!$L$2:$L$175,"Active")&gt;0,"EXCEPTION: SoD CONFLICT - ALSO HOLDS "&amp;R99,"OK - No Conflicting Role Held"))</f>
        <v>OK - No Conflicting Role Held</v>
      </c>
      <c r="T99" s="9" t="str">
        <f aca="false">IF(AND(H99="Admin",I99="Active"),IF(COUNTIFS(Recertifications!$B$2:$B$119,B99,Recertifications!$E$2:$E$119,F99,Recertifications!$K$2:$K$119,"&lt;&gt;")&gt;0,"OK - Recertified","EXCEPTION: PRIVILEGED ACCESS NEVER RECERTIFIED"),"N/A - Not Privileged")</f>
        <v>N/A - Not Privileged</v>
      </c>
      <c r="U99" s="9" t="str">
        <f aca="false">IF(OR(LEFT(M99,9)="EXCEPTION",LEFT(P99,9)="EXCEPTION",LEFT(S99,9)="EXCEPTION",LEFT(T99,9)="EXCEPTION"),"EXCEPTION","Clean")</f>
        <v>Clean</v>
      </c>
      <c r="V99" s="9" t="str">
        <f aca="false">IF(LEFT(M99,9)="EXCEPTION","Deprovisioning Control Gap",IF(LEFT(S99,9)="EXCEPTION","Segregation of Duties Conflict",IF(LEFT(P99,9)="EXCEPTION","Provisioning Approval Gap",IF(LEFT(T99,9)="EXCEPTION","Recertification Gap","N/A"))))</f>
        <v>N/A</v>
      </c>
    </row>
    <row r="100" customFormat="false" ht="15" hidden="false" customHeight="true" outlineLevel="0" collapsed="false">
      <c r="A100" s="9" t="str">
        <f aca="false">Access_Grants!A100</f>
        <v>AG-0099</v>
      </c>
      <c r="B100" s="9" t="str">
        <f aca="false">Access_Grants!B100</f>
        <v>E029</v>
      </c>
      <c r="C100" s="9" t="str">
        <f aca="false">Access_Grants!C100</f>
        <v>Carlos Osei</v>
      </c>
      <c r="D100" s="9" t="str">
        <f aca="false">Access_Grants!D100</f>
        <v>Finance</v>
      </c>
      <c r="E100" s="9" t="str">
        <f aca="false">Access_Grants!E100</f>
        <v>SYS-AD</v>
      </c>
      <c r="F100" s="9" t="str">
        <f aca="false">Access_Grants!F100</f>
        <v>R09</v>
      </c>
      <c r="G100" s="9" t="str">
        <f aca="false">Access_Grants!G100</f>
        <v>Standard Network User</v>
      </c>
      <c r="H100" s="9" t="str">
        <f aca="false">Access_Grants!H100</f>
        <v>Read</v>
      </c>
      <c r="I100" s="9" t="str">
        <f aca="false">Access_Grants!L100</f>
        <v>Revoked</v>
      </c>
      <c r="J100" s="10" t="n">
        <f aca="false">Access_Grants!I100</f>
        <v>45000</v>
      </c>
      <c r="K100" s="10" t="n">
        <f aca="false">IFERROR(INDEX(HR_Employees!$F$2:$F$51,MATCH(B100,HR_Employees!$A$2:$A$51,0)),"")</f>
        <v>45901</v>
      </c>
      <c r="L100" s="10" t="n">
        <f aca="false">IF(Access_Grants!M100="","",Access_Grants!M100)</f>
        <v>45904</v>
      </c>
      <c r="M100" s="9" t="str">
        <f aca="false">IF(K100="","N/A - Active Employee",IF(OR(I100="Active",AND(L100&lt;&gt;"",L100&gt;K100+5)),"EXCEPTION: TERMINATED USER - ACCESS NOT REVOKED TIMELY","OK - Revoked Within SLA"))</f>
        <v>OK - Revoked Within SLA</v>
      </c>
      <c r="N100" s="9" t="str">
        <f aca="false">Access_Grants!J100&amp;""</f>
        <v>MGR-10</v>
      </c>
      <c r="O100" s="9" t="str">
        <f aca="false">Access_Grants!K100&amp;""</f>
        <v>CHG-18968</v>
      </c>
      <c r="P100" s="9" t="str">
        <f aca="false">IF(OR(TRIM(N100)="",TRIM(O100)=""),"EXCEPTION: NO DOCUMENTED APPROVAL","OK - Approved")</f>
        <v>OK - Approved</v>
      </c>
      <c r="Q100" s="9" t="str">
        <f aca="false">IFERROR(INDEX(SoD_Conflict_Matrix!$D$2:$D$7,MATCH(F100,SoD_Conflict_Matrix!$B$2:$B$7,0)),IFERROR(INDEX(SoD_Conflict_Matrix!$B$2:$B$7,MATCH(F100,SoD_Conflict_Matrix!$D$2:$D$7,0)),""))</f>
        <v/>
      </c>
      <c r="R100" s="9" t="str">
        <f aca="false">IFERROR(INDEX(SoD_Conflict_Matrix!$E$2:$E$7,MATCH(F100,SoD_Conflict_Matrix!$B$2:$B$7,0)),IFERROR(INDEX(SoD_Conflict_Matrix!$C$2:$C$7,MATCH(F100,SoD_Conflict_Matrix!$D$2:$D$7,0)),""))</f>
        <v/>
      </c>
      <c r="S100" s="9" t="str">
        <f aca="false">IF(Q100="","No Conflict Rule Applies to This Role",IF(COUNTIFS(Access_Grants!$B$2:$B$175,B100,Access_Grants!$F$2:$F$175,Q100,Access_Grants!$L$2:$L$175,"Active")&gt;0,"EXCEPTION: SoD CONFLICT - ALSO HOLDS "&amp;R100,"OK - No Conflicting Role Held"))</f>
        <v>No Conflict Rule Applies to This Role</v>
      </c>
      <c r="T100" s="9" t="str">
        <f aca="false">IF(AND(H100="Admin",I100="Active"),IF(COUNTIFS(Recertifications!$B$2:$B$119,B100,Recertifications!$E$2:$E$119,F100,Recertifications!$K$2:$K$119,"&lt;&gt;")&gt;0,"OK - Recertified","EXCEPTION: PRIVILEGED ACCESS NEVER RECERTIFIED"),"N/A - Not Privileged")</f>
        <v>N/A - Not Privileged</v>
      </c>
      <c r="U100" s="9" t="str">
        <f aca="false">IF(OR(LEFT(M100,9)="EXCEPTION",LEFT(P100,9)="EXCEPTION",LEFT(S100,9)="EXCEPTION",LEFT(T100,9)="EXCEPTION"),"EXCEPTION","Clean")</f>
        <v>Clean</v>
      </c>
      <c r="V100" s="9" t="str">
        <f aca="false">IF(LEFT(M100,9)="EXCEPTION","Deprovisioning Control Gap",IF(LEFT(S100,9)="EXCEPTION","Segregation of Duties Conflict",IF(LEFT(P100,9)="EXCEPTION","Provisioning Approval Gap",IF(LEFT(T100,9)="EXCEPTION","Recertification Gap","N/A"))))</f>
        <v>N/A</v>
      </c>
    </row>
    <row r="101" customFormat="false" ht="15" hidden="false" customHeight="true" outlineLevel="0" collapsed="false">
      <c r="A101" s="9" t="str">
        <f aca="false">Access_Grants!A101</f>
        <v>AG-0100</v>
      </c>
      <c r="B101" s="9" t="str">
        <f aca="false">Access_Grants!B101</f>
        <v>E029</v>
      </c>
      <c r="C101" s="9" t="str">
        <f aca="false">Access_Grants!C101</f>
        <v>Carlos Osei</v>
      </c>
      <c r="D101" s="9" t="str">
        <f aca="false">Access_Grants!D101</f>
        <v>Finance</v>
      </c>
      <c r="E101" s="9" t="str">
        <f aca="false">Access_Grants!E101</f>
        <v>SYS-HRIS</v>
      </c>
      <c r="F101" s="9" t="str">
        <f aca="false">Access_Grants!F101</f>
        <v>R08</v>
      </c>
      <c r="G101" s="9" t="str">
        <f aca="false">Access_Grants!G101</f>
        <v>Employee Master Read-Only</v>
      </c>
      <c r="H101" s="9" t="str">
        <f aca="false">Access_Grants!H101</f>
        <v>Read</v>
      </c>
      <c r="I101" s="9" t="str">
        <f aca="false">Access_Grants!L101</f>
        <v>Revoked</v>
      </c>
      <c r="J101" s="10" t="n">
        <f aca="false">Access_Grants!I101</f>
        <v>45392</v>
      </c>
      <c r="K101" s="10" t="n">
        <f aca="false">IFERROR(INDEX(HR_Employees!$F$2:$F$51,MATCH(B101,HR_Employees!$A$2:$A$51,0)),"")</f>
        <v>45901</v>
      </c>
      <c r="L101" s="10" t="n">
        <f aca="false">IF(Access_Grants!M101="","",Access_Grants!M101)</f>
        <v>45906</v>
      </c>
      <c r="M101" s="9" t="str">
        <f aca="false">IF(K101="","N/A - Active Employee",IF(OR(I101="Active",AND(L101&lt;&gt;"",L101&gt;K101+5)),"EXCEPTION: TERMINATED USER - ACCESS NOT REVOKED TIMELY","OK - Revoked Within SLA"))</f>
        <v>OK - Revoked Within SLA</v>
      </c>
      <c r="N101" s="9" t="str">
        <f aca="false">Access_Grants!J101&amp;""</f>
        <v>MGR-02</v>
      </c>
      <c r="O101" s="9" t="str">
        <f aca="false">Access_Grants!K101&amp;""</f>
        <v>CHG-66881</v>
      </c>
      <c r="P101" s="9" t="str">
        <f aca="false">IF(OR(TRIM(N101)="",TRIM(O101)=""),"EXCEPTION: NO DOCUMENTED APPROVAL","OK - Approved")</f>
        <v>OK - Approved</v>
      </c>
      <c r="Q101" s="9" t="str">
        <f aca="false">IFERROR(INDEX(SoD_Conflict_Matrix!$D$2:$D$7,MATCH(F101,SoD_Conflict_Matrix!$B$2:$B$7,0)),IFERROR(INDEX(SoD_Conflict_Matrix!$B$2:$B$7,MATCH(F101,SoD_Conflict_Matrix!$D$2:$D$7,0)),""))</f>
        <v/>
      </c>
      <c r="R101" s="9" t="str">
        <f aca="false">IFERROR(INDEX(SoD_Conflict_Matrix!$E$2:$E$7,MATCH(F101,SoD_Conflict_Matrix!$B$2:$B$7,0)),IFERROR(INDEX(SoD_Conflict_Matrix!$C$2:$C$7,MATCH(F101,SoD_Conflict_Matrix!$D$2:$D$7,0)),""))</f>
        <v/>
      </c>
      <c r="S101" s="9" t="str">
        <f aca="false">IF(Q101="","No Conflict Rule Applies to This Role",IF(COUNTIFS(Access_Grants!$B$2:$B$175,B101,Access_Grants!$F$2:$F$175,Q101,Access_Grants!$L$2:$L$175,"Active")&gt;0,"EXCEPTION: SoD CONFLICT - ALSO HOLDS "&amp;R101,"OK - No Conflicting Role Held"))</f>
        <v>No Conflict Rule Applies to This Role</v>
      </c>
      <c r="T101" s="9" t="str">
        <f aca="false">IF(AND(H101="Admin",I101="Active"),IF(COUNTIFS(Recertifications!$B$2:$B$119,B101,Recertifications!$E$2:$E$119,F101,Recertifications!$K$2:$K$119,"&lt;&gt;")&gt;0,"OK - Recertified","EXCEPTION: PRIVILEGED ACCESS NEVER RECERTIFIED"),"N/A - Not Privileged")</f>
        <v>N/A - Not Privileged</v>
      </c>
      <c r="U101" s="9" t="str">
        <f aca="false">IF(OR(LEFT(M101,9)="EXCEPTION",LEFT(P101,9)="EXCEPTION",LEFT(S101,9)="EXCEPTION",LEFT(T101,9)="EXCEPTION"),"EXCEPTION","Clean")</f>
        <v>Clean</v>
      </c>
      <c r="V101" s="9" t="str">
        <f aca="false">IF(LEFT(M101,9)="EXCEPTION","Deprovisioning Control Gap",IF(LEFT(S101,9)="EXCEPTION","Segregation of Duties Conflict",IF(LEFT(P101,9)="EXCEPTION","Provisioning Approval Gap",IF(LEFT(T101,9)="EXCEPTION","Recertification Gap","N/A"))))</f>
        <v>N/A</v>
      </c>
    </row>
    <row r="102" customFormat="false" ht="15" hidden="false" customHeight="true" outlineLevel="0" collapsed="false">
      <c r="A102" s="9" t="str">
        <f aca="false">Access_Grants!A102</f>
        <v>AG-0101</v>
      </c>
      <c r="B102" s="9" t="str">
        <f aca="false">Access_Grants!B102</f>
        <v>E030</v>
      </c>
      <c r="C102" s="9" t="str">
        <f aca="false">Access_Grants!C102</f>
        <v>Isabel Nakamura</v>
      </c>
      <c r="D102" s="9" t="str">
        <f aca="false">Access_Grants!D102</f>
        <v>Procurement</v>
      </c>
      <c r="E102" s="9" t="str">
        <f aca="false">Access_Grants!E102</f>
        <v>SYS-ERP</v>
      </c>
      <c r="F102" s="9" t="str">
        <f aca="false">Access_Grants!F102</f>
        <v>R03</v>
      </c>
      <c r="G102" s="9" t="str">
        <f aca="false">Access_Grants!G102</f>
        <v>Vendor Master Maintenance</v>
      </c>
      <c r="H102" s="9" t="str">
        <f aca="false">Access_Grants!H102</f>
        <v>Write</v>
      </c>
      <c r="I102" s="9" t="str">
        <f aca="false">Access_Grants!L102</f>
        <v>Active</v>
      </c>
      <c r="J102" s="10" t="n">
        <f aca="false">Access_Grants!I102</f>
        <v>44956</v>
      </c>
      <c r="K102" s="10" t="n">
        <f aca="false">IFERROR(INDEX(HR_Employees!$F$2:$F$51,MATCH(B102,HR_Employees!$A$2:$A$51,0)),"")</f>
        <v>0</v>
      </c>
      <c r="L102" s="10" t="str">
        <f aca="false">IF(Access_Grants!M102="","",Access_Grants!M102)</f>
        <v/>
      </c>
      <c r="M102" s="9" t="str">
        <f aca="false">IF(K102="","N/A - Active Employee",IF(OR(I102="Active",AND(L102&lt;&gt;"",L102&gt;K102+5)),"EXCEPTION: TERMINATED USER - ACCESS NOT REVOKED TIMELY","OK - Revoked Within SLA"))</f>
        <v>N/A - Active Employee</v>
      </c>
      <c r="N102" s="9" t="str">
        <f aca="false">Access_Grants!J102&amp;""</f>
        <v>MGR-01</v>
      </c>
      <c r="O102" s="9" t="str">
        <f aca="false">Access_Grants!K102&amp;""</f>
        <v>CHG-52516</v>
      </c>
      <c r="P102" s="9" t="str">
        <f aca="false">IF(OR(TRIM(N102)="",TRIM(O102)=""),"EXCEPTION: NO DOCUMENTED APPROVAL","OK - Approved")</f>
        <v>OK - Approved</v>
      </c>
      <c r="Q102" s="9" t="str">
        <f aca="false">IFERROR(INDEX(SoD_Conflict_Matrix!$D$2:$D$7,MATCH(F102,SoD_Conflict_Matrix!$B$2:$B$7,0)),IFERROR(INDEX(SoD_Conflict_Matrix!$B$2:$B$7,MATCH(F102,SoD_Conflict_Matrix!$D$2:$D$7,0)),""))</f>
        <v>R02</v>
      </c>
      <c r="R102" s="9" t="str">
        <f aca="false">IFERROR(INDEX(SoD_Conflict_Matrix!$E$2:$E$7,MATCH(F102,SoD_Conflict_Matrix!$B$2:$B$7,0)),IFERROR(INDEX(SoD_Conflict_Matrix!$C$2:$C$7,MATCH(F102,SoD_Conflict_Matrix!$D$2:$D$7,0)),""))</f>
        <v>AP Payment Approval</v>
      </c>
      <c r="S102" s="9" t="str">
        <f aca="false">IF(Q102="","No Conflict Rule Applies to This Role",IF(COUNTIFS(Access_Grants!$B$2:$B$175,B102,Access_Grants!$F$2:$F$175,Q102,Access_Grants!$L$2:$L$175,"Active")&gt;0,"EXCEPTION: SoD CONFLICT - ALSO HOLDS "&amp;R102,"OK - No Conflicting Role Held"))</f>
        <v>OK - No Conflicting Role Held</v>
      </c>
      <c r="T102" s="9" t="str">
        <f aca="false">IF(AND(H102="Admin",I102="Active"),IF(COUNTIFS(Recertifications!$B$2:$B$119,B102,Recertifications!$E$2:$E$119,F102,Recertifications!$K$2:$K$119,"&lt;&gt;")&gt;0,"OK - Recertified","EXCEPTION: PRIVILEGED ACCESS NEVER RECERTIFIED"),"N/A - Not Privileged")</f>
        <v>N/A - Not Privileged</v>
      </c>
      <c r="U102" s="9" t="str">
        <f aca="false">IF(OR(LEFT(M102,9)="EXCEPTION",LEFT(P102,9)="EXCEPTION",LEFT(S102,9)="EXCEPTION",LEFT(T102,9)="EXCEPTION"),"EXCEPTION","Clean")</f>
        <v>Clean</v>
      </c>
      <c r="V102" s="9" t="str">
        <f aca="false">IF(LEFT(M102,9)="EXCEPTION","Deprovisioning Control Gap",IF(LEFT(S102,9)="EXCEPTION","Segregation of Duties Conflict",IF(LEFT(P102,9)="EXCEPTION","Provisioning Approval Gap",IF(LEFT(T102,9)="EXCEPTION","Recertification Gap","N/A"))))</f>
        <v>N/A</v>
      </c>
    </row>
    <row r="103" customFormat="false" ht="15" hidden="false" customHeight="true" outlineLevel="0" collapsed="false">
      <c r="A103" s="9" t="str">
        <f aca="false">Access_Grants!A103</f>
        <v>AG-0102</v>
      </c>
      <c r="B103" s="9" t="str">
        <f aca="false">Access_Grants!B103</f>
        <v>E030</v>
      </c>
      <c r="C103" s="9" t="str">
        <f aca="false">Access_Grants!C103</f>
        <v>Isabel Nakamura</v>
      </c>
      <c r="D103" s="9" t="str">
        <f aca="false">Access_Grants!D103</f>
        <v>Procurement</v>
      </c>
      <c r="E103" s="9" t="str">
        <f aca="false">Access_Grants!E103</f>
        <v>SYS-ERP</v>
      </c>
      <c r="F103" s="9" t="str">
        <f aca="false">Access_Grants!F103</f>
        <v>R01</v>
      </c>
      <c r="G103" s="9" t="str">
        <f aca="false">Access_Grants!G103</f>
        <v>AP Invoice Entry</v>
      </c>
      <c r="H103" s="9" t="str">
        <f aca="false">Access_Grants!H103</f>
        <v>Write</v>
      </c>
      <c r="I103" s="9" t="str">
        <f aca="false">Access_Grants!L103</f>
        <v>Active</v>
      </c>
      <c r="J103" s="10" t="n">
        <f aca="false">Access_Grants!I103</f>
        <v>45310</v>
      </c>
      <c r="K103" s="10" t="n">
        <f aca="false">IFERROR(INDEX(HR_Employees!$F$2:$F$51,MATCH(B103,HR_Employees!$A$2:$A$51,0)),"")</f>
        <v>0</v>
      </c>
      <c r="L103" s="10" t="str">
        <f aca="false">IF(Access_Grants!M103="","",Access_Grants!M103)</f>
        <v/>
      </c>
      <c r="M103" s="9" t="str">
        <f aca="false">IF(K103="","N/A - Active Employee",IF(OR(I103="Active",AND(L103&lt;&gt;"",L103&gt;K103+5)),"EXCEPTION: TERMINATED USER - ACCESS NOT REVOKED TIMELY","OK - Revoked Within SLA"))</f>
        <v>N/A - Active Employee</v>
      </c>
      <c r="N103" s="9" t="str">
        <f aca="false">Access_Grants!J103&amp;""</f>
        <v>MGR-07</v>
      </c>
      <c r="O103" s="9" t="str">
        <f aca="false">Access_Grants!K103&amp;""</f>
        <v>CHG-29080</v>
      </c>
      <c r="P103" s="9" t="str">
        <f aca="false">IF(OR(TRIM(N103)="",TRIM(O103)=""),"EXCEPTION: NO DOCUMENTED APPROVAL","OK - Approved")</f>
        <v>OK - Approved</v>
      </c>
      <c r="Q103" s="9" t="str">
        <f aca="false">IFERROR(INDEX(SoD_Conflict_Matrix!$D$2:$D$7,MATCH(F103,SoD_Conflict_Matrix!$B$2:$B$7,0)),IFERROR(INDEX(SoD_Conflict_Matrix!$B$2:$B$7,MATCH(F103,SoD_Conflict_Matrix!$D$2:$D$7,0)),""))</f>
        <v>R02</v>
      </c>
      <c r="R103" s="9" t="str">
        <f aca="false">IFERROR(INDEX(SoD_Conflict_Matrix!$E$2:$E$7,MATCH(F103,SoD_Conflict_Matrix!$B$2:$B$7,0)),IFERROR(INDEX(SoD_Conflict_Matrix!$C$2:$C$7,MATCH(F103,SoD_Conflict_Matrix!$D$2:$D$7,0)),""))</f>
        <v>AP Payment Approval</v>
      </c>
      <c r="S103" s="9" t="str">
        <f aca="false">IF(Q103="","No Conflict Rule Applies to This Role",IF(COUNTIFS(Access_Grants!$B$2:$B$175,B103,Access_Grants!$F$2:$F$175,Q103,Access_Grants!$L$2:$L$175,"Active")&gt;0,"EXCEPTION: SoD CONFLICT - ALSO HOLDS "&amp;R103,"OK - No Conflicting Role Held"))</f>
        <v>OK - No Conflicting Role Held</v>
      </c>
      <c r="T103" s="9" t="str">
        <f aca="false">IF(AND(H103="Admin",I103="Active"),IF(COUNTIFS(Recertifications!$B$2:$B$119,B103,Recertifications!$E$2:$E$119,F103,Recertifications!$K$2:$K$119,"&lt;&gt;")&gt;0,"OK - Recertified","EXCEPTION: PRIVILEGED ACCESS NEVER RECERTIFIED"),"N/A - Not Privileged")</f>
        <v>N/A - Not Privileged</v>
      </c>
      <c r="U103" s="9" t="str">
        <f aca="false">IF(OR(LEFT(M103,9)="EXCEPTION",LEFT(P103,9)="EXCEPTION",LEFT(S103,9)="EXCEPTION",LEFT(T103,9)="EXCEPTION"),"EXCEPTION","Clean")</f>
        <v>Clean</v>
      </c>
      <c r="V103" s="9" t="str">
        <f aca="false">IF(LEFT(M103,9)="EXCEPTION","Deprovisioning Control Gap",IF(LEFT(S103,9)="EXCEPTION","Segregation of Duties Conflict",IF(LEFT(P103,9)="EXCEPTION","Provisioning Approval Gap",IF(LEFT(T103,9)="EXCEPTION","Recertification Gap","N/A"))))</f>
        <v>N/A</v>
      </c>
    </row>
    <row r="104" customFormat="false" ht="15" hidden="false" customHeight="true" outlineLevel="0" collapsed="false">
      <c r="A104" s="9" t="str">
        <f aca="false">Access_Grants!A104</f>
        <v>AG-0103</v>
      </c>
      <c r="B104" s="9" t="str">
        <f aca="false">Access_Grants!B104</f>
        <v>E031</v>
      </c>
      <c r="C104" s="9" t="str">
        <f aca="false">Access_Grants!C104</f>
        <v>Adam Rossi</v>
      </c>
      <c r="D104" s="9" t="str">
        <f aca="false">Access_Grants!D104</f>
        <v>Customer Service</v>
      </c>
      <c r="E104" s="9" t="str">
        <f aca="false">Access_Grants!E104</f>
        <v>SYS-AD</v>
      </c>
      <c r="F104" s="9" t="str">
        <f aca="false">Access_Grants!F104</f>
        <v>R09</v>
      </c>
      <c r="G104" s="9" t="str">
        <f aca="false">Access_Grants!G104</f>
        <v>Standard Network User</v>
      </c>
      <c r="H104" s="9" t="str">
        <f aca="false">Access_Grants!H104</f>
        <v>Read</v>
      </c>
      <c r="I104" s="9" t="str">
        <f aca="false">Access_Grants!L104</f>
        <v>Active</v>
      </c>
      <c r="J104" s="10" t="n">
        <f aca="false">Access_Grants!I104</f>
        <v>45626</v>
      </c>
      <c r="K104" s="10" t="n">
        <f aca="false">IFERROR(INDEX(HR_Employees!$F$2:$F$51,MATCH(B104,HR_Employees!$A$2:$A$51,0)),"")</f>
        <v>0</v>
      </c>
      <c r="L104" s="10" t="str">
        <f aca="false">IF(Access_Grants!M104="","",Access_Grants!M104)</f>
        <v/>
      </c>
      <c r="M104" s="9" t="str">
        <f aca="false">IF(K104="","N/A - Active Employee",IF(OR(I104="Active",AND(L104&lt;&gt;"",L104&gt;K104+5)),"EXCEPTION: TERMINATED USER - ACCESS NOT REVOKED TIMELY","OK - Revoked Within SLA"))</f>
        <v>N/A - Active Employee</v>
      </c>
      <c r="N104" s="9" t="str">
        <f aca="false">Access_Grants!J104&amp;""</f>
        <v>MGR-08</v>
      </c>
      <c r="O104" s="9" t="str">
        <f aca="false">Access_Grants!K104&amp;""</f>
        <v>CHG-86435</v>
      </c>
      <c r="P104" s="9" t="str">
        <f aca="false">IF(OR(TRIM(N104)="",TRIM(O104)=""),"EXCEPTION: NO DOCUMENTED APPROVAL","OK - Approved")</f>
        <v>OK - Approved</v>
      </c>
      <c r="Q104" s="9" t="str">
        <f aca="false">IFERROR(INDEX(SoD_Conflict_Matrix!$D$2:$D$7,MATCH(F104,SoD_Conflict_Matrix!$B$2:$B$7,0)),IFERROR(INDEX(SoD_Conflict_Matrix!$B$2:$B$7,MATCH(F104,SoD_Conflict_Matrix!$D$2:$D$7,0)),""))</f>
        <v/>
      </c>
      <c r="R104" s="9" t="str">
        <f aca="false">IFERROR(INDEX(SoD_Conflict_Matrix!$E$2:$E$7,MATCH(F104,SoD_Conflict_Matrix!$B$2:$B$7,0)),IFERROR(INDEX(SoD_Conflict_Matrix!$C$2:$C$7,MATCH(F104,SoD_Conflict_Matrix!$D$2:$D$7,0)),""))</f>
        <v/>
      </c>
      <c r="S104" s="9" t="str">
        <f aca="false">IF(Q104="","No Conflict Rule Applies to This Role",IF(COUNTIFS(Access_Grants!$B$2:$B$175,B104,Access_Grants!$F$2:$F$175,Q104,Access_Grants!$L$2:$L$175,"Active")&gt;0,"EXCEPTION: SoD CONFLICT - ALSO HOLDS "&amp;R104,"OK - No Conflicting Role Held"))</f>
        <v>No Conflict Rule Applies to This Role</v>
      </c>
      <c r="T104" s="9" t="str">
        <f aca="false">IF(AND(H104="Admin",I104="Active"),IF(COUNTIFS(Recertifications!$B$2:$B$119,B104,Recertifications!$E$2:$E$119,F104,Recertifications!$K$2:$K$119,"&lt;&gt;")&gt;0,"OK - Recertified","EXCEPTION: PRIVILEGED ACCESS NEVER RECERTIFIED"),"N/A - Not Privileged")</f>
        <v>N/A - Not Privileged</v>
      </c>
      <c r="U104" s="9" t="str">
        <f aca="false">IF(OR(LEFT(M104,9)="EXCEPTION",LEFT(P104,9)="EXCEPTION",LEFT(S104,9)="EXCEPTION",LEFT(T104,9)="EXCEPTION"),"EXCEPTION","Clean")</f>
        <v>Clean</v>
      </c>
      <c r="V104" s="9" t="str">
        <f aca="false">IF(LEFT(M104,9)="EXCEPTION","Deprovisioning Control Gap",IF(LEFT(S104,9)="EXCEPTION","Segregation of Duties Conflict",IF(LEFT(P104,9)="EXCEPTION","Provisioning Approval Gap",IF(LEFT(T104,9)="EXCEPTION","Recertification Gap","N/A"))))</f>
        <v>N/A</v>
      </c>
    </row>
    <row r="105" customFormat="false" ht="15" hidden="false" customHeight="true" outlineLevel="0" collapsed="false">
      <c r="A105" s="9" t="str">
        <f aca="false">Access_Grants!A105</f>
        <v>AG-0104</v>
      </c>
      <c r="B105" s="9" t="str">
        <f aca="false">Access_Grants!B105</f>
        <v>E031</v>
      </c>
      <c r="C105" s="9" t="str">
        <f aca="false">Access_Grants!C105</f>
        <v>Adam Rossi</v>
      </c>
      <c r="D105" s="9" t="str">
        <f aca="false">Access_Grants!D105</f>
        <v>Customer Service</v>
      </c>
      <c r="E105" s="9" t="str">
        <f aca="false">Access_Grants!E105</f>
        <v>SYS-HRIS</v>
      </c>
      <c r="F105" s="9" t="str">
        <f aca="false">Access_Grants!F105</f>
        <v>R08</v>
      </c>
      <c r="G105" s="9" t="str">
        <f aca="false">Access_Grants!G105</f>
        <v>Employee Master Read-Only</v>
      </c>
      <c r="H105" s="9" t="str">
        <f aca="false">Access_Grants!H105</f>
        <v>Read</v>
      </c>
      <c r="I105" s="9" t="str">
        <f aca="false">Access_Grants!L105</f>
        <v>Active</v>
      </c>
      <c r="J105" s="10" t="n">
        <f aca="false">Access_Grants!I105</f>
        <v>45653</v>
      </c>
      <c r="K105" s="10" t="n">
        <f aca="false">IFERROR(INDEX(HR_Employees!$F$2:$F$51,MATCH(B105,HR_Employees!$A$2:$A$51,0)),"")</f>
        <v>0</v>
      </c>
      <c r="L105" s="10" t="str">
        <f aca="false">IF(Access_Grants!M105="","",Access_Grants!M105)</f>
        <v/>
      </c>
      <c r="M105" s="9" t="str">
        <f aca="false">IF(K105="","N/A - Active Employee",IF(OR(I105="Active",AND(L105&lt;&gt;"",L105&gt;K105+5)),"EXCEPTION: TERMINATED USER - ACCESS NOT REVOKED TIMELY","OK - Revoked Within SLA"))</f>
        <v>N/A - Active Employee</v>
      </c>
      <c r="N105" s="9" t="str">
        <f aca="false">Access_Grants!J105&amp;""</f>
        <v>MGR-08</v>
      </c>
      <c r="O105" s="9" t="str">
        <f aca="false">Access_Grants!K105&amp;""</f>
        <v>CHG-43466</v>
      </c>
      <c r="P105" s="9" t="str">
        <f aca="false">IF(OR(TRIM(N105)="",TRIM(O105)=""),"EXCEPTION: NO DOCUMENTED APPROVAL","OK - Approved")</f>
        <v>OK - Approved</v>
      </c>
      <c r="Q105" s="9" t="str">
        <f aca="false">IFERROR(INDEX(SoD_Conflict_Matrix!$D$2:$D$7,MATCH(F105,SoD_Conflict_Matrix!$B$2:$B$7,0)),IFERROR(INDEX(SoD_Conflict_Matrix!$B$2:$B$7,MATCH(F105,SoD_Conflict_Matrix!$D$2:$D$7,0)),""))</f>
        <v/>
      </c>
      <c r="R105" s="9" t="str">
        <f aca="false">IFERROR(INDEX(SoD_Conflict_Matrix!$E$2:$E$7,MATCH(F105,SoD_Conflict_Matrix!$B$2:$B$7,0)),IFERROR(INDEX(SoD_Conflict_Matrix!$C$2:$C$7,MATCH(F105,SoD_Conflict_Matrix!$D$2:$D$7,0)),""))</f>
        <v/>
      </c>
      <c r="S105" s="9" t="str">
        <f aca="false">IF(Q105="","No Conflict Rule Applies to This Role",IF(COUNTIFS(Access_Grants!$B$2:$B$175,B105,Access_Grants!$F$2:$F$175,Q105,Access_Grants!$L$2:$L$175,"Active")&gt;0,"EXCEPTION: SoD CONFLICT - ALSO HOLDS "&amp;R105,"OK - No Conflicting Role Held"))</f>
        <v>No Conflict Rule Applies to This Role</v>
      </c>
      <c r="T105" s="9" t="str">
        <f aca="false">IF(AND(H105="Admin",I105="Active"),IF(COUNTIFS(Recertifications!$B$2:$B$119,B105,Recertifications!$E$2:$E$119,F105,Recertifications!$K$2:$K$119,"&lt;&gt;")&gt;0,"OK - Recertified","EXCEPTION: PRIVILEGED ACCESS NEVER RECERTIFIED"),"N/A - Not Privileged")</f>
        <v>N/A - Not Privileged</v>
      </c>
      <c r="U105" s="9" t="str">
        <f aca="false">IF(OR(LEFT(M105,9)="EXCEPTION",LEFT(P105,9)="EXCEPTION",LEFT(S105,9)="EXCEPTION",LEFT(T105,9)="EXCEPTION"),"EXCEPTION","Clean")</f>
        <v>Clean</v>
      </c>
      <c r="V105" s="9" t="str">
        <f aca="false">IF(LEFT(M105,9)="EXCEPTION","Deprovisioning Control Gap",IF(LEFT(S105,9)="EXCEPTION","Segregation of Duties Conflict",IF(LEFT(P105,9)="EXCEPTION","Provisioning Approval Gap",IF(LEFT(T105,9)="EXCEPTION","Recertification Gap","N/A"))))</f>
        <v>N/A</v>
      </c>
    </row>
    <row r="106" customFormat="false" ht="15" hidden="false" customHeight="true" outlineLevel="0" collapsed="false">
      <c r="A106" s="9" t="str">
        <f aca="false">Access_Grants!A106</f>
        <v>AG-0105</v>
      </c>
      <c r="B106" s="9" t="str">
        <f aca="false">Access_Grants!B106</f>
        <v>E031</v>
      </c>
      <c r="C106" s="9" t="str">
        <f aca="false">Access_Grants!C106</f>
        <v>Adam Rossi</v>
      </c>
      <c r="D106" s="9" t="str">
        <f aca="false">Access_Grants!D106</f>
        <v>Customer Service</v>
      </c>
      <c r="E106" s="9" t="str">
        <f aca="false">Access_Grants!E106</f>
        <v>SYS-CRM</v>
      </c>
      <c r="F106" s="9" t="str">
        <f aca="false">Access_Grants!F106</f>
        <v>R11</v>
      </c>
      <c r="G106" s="9" t="str">
        <f aca="false">Access_Grants!G106</f>
        <v>Sales Order Entry</v>
      </c>
      <c r="H106" s="9" t="str">
        <f aca="false">Access_Grants!H106</f>
        <v>Write</v>
      </c>
      <c r="I106" s="9" t="str">
        <f aca="false">Access_Grants!L106</f>
        <v>Active</v>
      </c>
      <c r="J106" s="10" t="n">
        <f aca="false">Access_Grants!I106</f>
        <v>46085</v>
      </c>
      <c r="K106" s="10" t="n">
        <f aca="false">IFERROR(INDEX(HR_Employees!$F$2:$F$51,MATCH(B106,HR_Employees!$A$2:$A$51,0)),"")</f>
        <v>0</v>
      </c>
      <c r="L106" s="10" t="str">
        <f aca="false">IF(Access_Grants!M106="","",Access_Grants!M106)</f>
        <v/>
      </c>
      <c r="M106" s="9" t="str">
        <f aca="false">IF(K106="","N/A - Active Employee",IF(OR(I106="Active",AND(L106&lt;&gt;"",L106&gt;K106+5)),"EXCEPTION: TERMINATED USER - ACCESS NOT REVOKED TIMELY","OK - Revoked Within SLA"))</f>
        <v>N/A - Active Employee</v>
      </c>
      <c r="N106" s="9" t="str">
        <f aca="false">Access_Grants!J106&amp;""</f>
        <v>MGR-05</v>
      </c>
      <c r="O106" s="9" t="str">
        <f aca="false">Access_Grants!K106&amp;""</f>
        <v>CHG-98815</v>
      </c>
      <c r="P106" s="9" t="str">
        <f aca="false">IF(OR(TRIM(N106)="",TRIM(O106)=""),"EXCEPTION: NO DOCUMENTED APPROVAL","OK - Approved")</f>
        <v>OK - Approved</v>
      </c>
      <c r="Q106" s="9" t="str">
        <f aca="false">IFERROR(INDEX(SoD_Conflict_Matrix!$D$2:$D$7,MATCH(F106,SoD_Conflict_Matrix!$B$2:$B$7,0)),IFERROR(INDEX(SoD_Conflict_Matrix!$B$2:$B$7,MATCH(F106,SoD_Conflict_Matrix!$D$2:$D$7,0)),""))</f>
        <v>R12</v>
      </c>
      <c r="R106" s="9" t="str">
        <f aca="false">IFERROR(INDEX(SoD_Conflict_Matrix!$E$2:$E$7,MATCH(F106,SoD_Conflict_Matrix!$B$2:$B$7,0)),IFERROR(INDEX(SoD_Conflict_Matrix!$C$2:$C$7,MATCH(F106,SoD_Conflict_Matrix!$D$2:$D$7,0)),""))</f>
        <v>Sales Credit Memo Approval</v>
      </c>
      <c r="S106" s="9" t="str">
        <f aca="false">IF(Q106="","No Conflict Rule Applies to This Role",IF(COUNTIFS(Access_Grants!$B$2:$B$175,B106,Access_Grants!$F$2:$F$175,Q106,Access_Grants!$L$2:$L$175,"Active")&gt;0,"EXCEPTION: SoD CONFLICT - ALSO HOLDS "&amp;R106,"OK - No Conflicting Role Held"))</f>
        <v>OK - No Conflicting Role Held</v>
      </c>
      <c r="T106" s="9" t="str">
        <f aca="false">IF(AND(H106="Admin",I106="Active"),IF(COUNTIFS(Recertifications!$B$2:$B$119,B106,Recertifications!$E$2:$E$119,F106,Recertifications!$K$2:$K$119,"&lt;&gt;")&gt;0,"OK - Recertified","EXCEPTION: PRIVILEGED ACCESS NEVER RECERTIFIED"),"N/A - Not Privileged")</f>
        <v>N/A - Not Privileged</v>
      </c>
      <c r="U106" s="9" t="str">
        <f aca="false">IF(OR(LEFT(M106,9)="EXCEPTION",LEFT(P106,9)="EXCEPTION",LEFT(S106,9)="EXCEPTION",LEFT(T106,9)="EXCEPTION"),"EXCEPTION","Clean")</f>
        <v>Clean</v>
      </c>
      <c r="V106" s="9" t="str">
        <f aca="false">IF(LEFT(M106,9)="EXCEPTION","Deprovisioning Control Gap",IF(LEFT(S106,9)="EXCEPTION","Segregation of Duties Conflict",IF(LEFT(P106,9)="EXCEPTION","Provisioning Approval Gap",IF(LEFT(T106,9)="EXCEPTION","Recertification Gap","N/A"))))</f>
        <v>N/A</v>
      </c>
    </row>
    <row r="107" customFormat="false" ht="15" hidden="false" customHeight="true" outlineLevel="0" collapsed="false">
      <c r="A107" s="9" t="str">
        <f aca="false">Access_Grants!A107</f>
        <v>AG-0106</v>
      </c>
      <c r="B107" s="9" t="str">
        <f aca="false">Access_Grants!B107</f>
        <v>E031</v>
      </c>
      <c r="C107" s="9" t="str">
        <f aca="false">Access_Grants!C107</f>
        <v>Adam Rossi</v>
      </c>
      <c r="D107" s="9" t="str">
        <f aca="false">Access_Grants!D107</f>
        <v>Customer Service</v>
      </c>
      <c r="E107" s="9" t="str">
        <f aca="false">Access_Grants!E107</f>
        <v>SYS-HRIS</v>
      </c>
      <c r="F107" s="9" t="str">
        <f aca="false">Access_Grants!F107</f>
        <v>R06</v>
      </c>
      <c r="G107" s="9" t="str">
        <f aca="false">Access_Grants!G107</f>
        <v>Payroll Data Entry</v>
      </c>
      <c r="H107" s="9" t="str">
        <f aca="false">Access_Grants!H107</f>
        <v>Write</v>
      </c>
      <c r="I107" s="9" t="str">
        <f aca="false">Access_Grants!L107</f>
        <v>Active</v>
      </c>
      <c r="J107" s="10" t="n">
        <f aca="false">Access_Grants!I107</f>
        <v>45840</v>
      </c>
      <c r="K107" s="10" t="n">
        <f aca="false">IFERROR(INDEX(HR_Employees!$F$2:$F$51,MATCH(B107,HR_Employees!$A$2:$A$51,0)),"")</f>
        <v>0</v>
      </c>
      <c r="L107" s="10" t="str">
        <f aca="false">IF(Access_Grants!M107="","",Access_Grants!M107)</f>
        <v/>
      </c>
      <c r="M107" s="9" t="str">
        <f aca="false">IF(K107="","N/A - Active Employee",IF(OR(I107="Active",AND(L107&lt;&gt;"",L107&gt;K107+5)),"EXCEPTION: TERMINATED USER - ACCESS NOT REVOKED TIMELY","OK - Revoked Within SLA"))</f>
        <v>N/A - Active Employee</v>
      </c>
      <c r="N107" s="9" t="str">
        <f aca="false">Access_Grants!J107&amp;""</f>
        <v>MGR-10</v>
      </c>
      <c r="O107" s="9" t="str">
        <f aca="false">Access_Grants!K107&amp;""</f>
        <v>CHG-49210</v>
      </c>
      <c r="P107" s="9" t="str">
        <f aca="false">IF(OR(TRIM(N107)="",TRIM(O107)=""),"EXCEPTION: NO DOCUMENTED APPROVAL","OK - Approved")</f>
        <v>OK - Approved</v>
      </c>
      <c r="Q107" s="9" t="str">
        <f aca="false">IFERROR(INDEX(SoD_Conflict_Matrix!$D$2:$D$7,MATCH(F107,SoD_Conflict_Matrix!$B$2:$B$7,0)),IFERROR(INDEX(SoD_Conflict_Matrix!$B$2:$B$7,MATCH(F107,SoD_Conflict_Matrix!$D$2:$D$7,0)),""))</f>
        <v>R07</v>
      </c>
      <c r="R107" s="9" t="str">
        <f aca="false">IFERROR(INDEX(SoD_Conflict_Matrix!$E$2:$E$7,MATCH(F107,SoD_Conflict_Matrix!$B$2:$B$7,0)),IFERROR(INDEX(SoD_Conflict_Matrix!$C$2:$C$7,MATCH(F107,SoD_Conflict_Matrix!$D$2:$D$7,0)),""))</f>
        <v>Payroll Approval / Release</v>
      </c>
      <c r="S107" s="9" t="str">
        <f aca="false">IF(Q107="","No Conflict Rule Applies to This Role",IF(COUNTIFS(Access_Grants!$B$2:$B$175,B107,Access_Grants!$F$2:$F$175,Q107,Access_Grants!$L$2:$L$175,"Active")&gt;0,"EXCEPTION: SoD CONFLICT - ALSO HOLDS "&amp;R107,"OK - No Conflicting Role Held"))</f>
        <v>EXCEPTION: SoD CONFLICT - ALSO HOLDS Payroll Approval / Release</v>
      </c>
      <c r="T107" s="9" t="str">
        <f aca="false">IF(AND(H107="Admin",I107="Active"),IF(COUNTIFS(Recertifications!$B$2:$B$119,B107,Recertifications!$E$2:$E$119,F107,Recertifications!$K$2:$K$119,"&lt;&gt;")&gt;0,"OK - Recertified","EXCEPTION: PRIVILEGED ACCESS NEVER RECERTIFIED"),"N/A - Not Privileged")</f>
        <v>N/A - Not Privileged</v>
      </c>
      <c r="U107" s="9" t="str">
        <f aca="false">IF(OR(LEFT(M107,9)="EXCEPTION",LEFT(P107,9)="EXCEPTION",LEFT(S107,9)="EXCEPTION",LEFT(T107,9)="EXCEPTION"),"EXCEPTION","Clean")</f>
        <v>EXCEPTION</v>
      </c>
      <c r="V107" s="9" t="str">
        <f aca="false">IF(LEFT(M107,9)="EXCEPTION","Deprovisioning Control Gap",IF(LEFT(S107,9)="EXCEPTION","Segregation of Duties Conflict",IF(LEFT(P107,9)="EXCEPTION","Provisioning Approval Gap",IF(LEFT(T107,9)="EXCEPTION","Recertification Gap","N/A"))))</f>
        <v>Segregation of Duties Conflict</v>
      </c>
    </row>
    <row r="108" customFormat="false" ht="15" hidden="false" customHeight="true" outlineLevel="0" collapsed="false">
      <c r="A108" s="9" t="str">
        <f aca="false">Access_Grants!A108</f>
        <v>AG-0107</v>
      </c>
      <c r="B108" s="9" t="str">
        <f aca="false">Access_Grants!B108</f>
        <v>E031</v>
      </c>
      <c r="C108" s="9" t="str">
        <f aca="false">Access_Grants!C108</f>
        <v>Adam Rossi</v>
      </c>
      <c r="D108" s="9" t="str">
        <f aca="false">Access_Grants!D108</f>
        <v>Customer Service</v>
      </c>
      <c r="E108" s="9" t="str">
        <f aca="false">Access_Grants!E108</f>
        <v>SYS-HRIS</v>
      </c>
      <c r="F108" s="9" t="str">
        <f aca="false">Access_Grants!F108</f>
        <v>R07</v>
      </c>
      <c r="G108" s="9" t="str">
        <f aca="false">Access_Grants!G108</f>
        <v>Payroll Approval / Release</v>
      </c>
      <c r="H108" s="9" t="str">
        <f aca="false">Access_Grants!H108</f>
        <v>Admin</v>
      </c>
      <c r="I108" s="9" t="str">
        <f aca="false">Access_Grants!L108</f>
        <v>Active</v>
      </c>
      <c r="J108" s="10" t="n">
        <f aca="false">Access_Grants!I108</f>
        <v>45645</v>
      </c>
      <c r="K108" s="10" t="n">
        <f aca="false">IFERROR(INDEX(HR_Employees!$F$2:$F$51,MATCH(B108,HR_Employees!$A$2:$A$51,0)),"")</f>
        <v>0</v>
      </c>
      <c r="L108" s="10" t="str">
        <f aca="false">IF(Access_Grants!M108="","",Access_Grants!M108)</f>
        <v/>
      </c>
      <c r="M108" s="9" t="str">
        <f aca="false">IF(K108="","N/A - Active Employee",IF(OR(I108="Active",AND(L108&lt;&gt;"",L108&gt;K108+5)),"EXCEPTION: TERMINATED USER - ACCESS NOT REVOKED TIMELY","OK - Revoked Within SLA"))</f>
        <v>N/A - Active Employee</v>
      </c>
      <c r="N108" s="9" t="str">
        <f aca="false">Access_Grants!J108&amp;""</f>
        <v>MGR-08</v>
      </c>
      <c r="O108" s="9" t="str">
        <f aca="false">Access_Grants!K108&amp;""</f>
        <v>CHG-49599</v>
      </c>
      <c r="P108" s="9" t="str">
        <f aca="false">IF(OR(TRIM(N108)="",TRIM(O108)=""),"EXCEPTION: NO DOCUMENTED APPROVAL","OK - Approved")</f>
        <v>OK - Approved</v>
      </c>
      <c r="Q108" s="9" t="str">
        <f aca="false">IFERROR(INDEX(SoD_Conflict_Matrix!$D$2:$D$7,MATCH(F108,SoD_Conflict_Matrix!$B$2:$B$7,0)),IFERROR(INDEX(SoD_Conflict_Matrix!$B$2:$B$7,MATCH(F108,SoD_Conflict_Matrix!$D$2:$D$7,0)),""))</f>
        <v>R06</v>
      </c>
      <c r="R108" s="9" t="str">
        <f aca="false">IFERROR(INDEX(SoD_Conflict_Matrix!$E$2:$E$7,MATCH(F108,SoD_Conflict_Matrix!$B$2:$B$7,0)),IFERROR(INDEX(SoD_Conflict_Matrix!$C$2:$C$7,MATCH(F108,SoD_Conflict_Matrix!$D$2:$D$7,0)),""))</f>
        <v>Payroll Data Entry</v>
      </c>
      <c r="S108" s="9" t="str">
        <f aca="false">IF(Q108="","No Conflict Rule Applies to This Role",IF(COUNTIFS(Access_Grants!$B$2:$B$175,B108,Access_Grants!$F$2:$F$175,Q108,Access_Grants!$L$2:$L$175,"Active")&gt;0,"EXCEPTION: SoD CONFLICT - ALSO HOLDS "&amp;R108,"OK - No Conflicting Role Held"))</f>
        <v>EXCEPTION: SoD CONFLICT - ALSO HOLDS Payroll Data Entry</v>
      </c>
      <c r="T108" s="9" t="str">
        <f aca="false">IF(AND(H108="Admin",I108="Active"),IF(COUNTIFS(Recertifications!$B$2:$B$119,B108,Recertifications!$E$2:$E$119,F108,Recertifications!$K$2:$K$119,"&lt;&gt;")&gt;0,"OK - Recertified","EXCEPTION: PRIVILEGED ACCESS NEVER RECERTIFIED"),"N/A - Not Privileged")</f>
        <v>EXCEPTION: PRIVILEGED ACCESS NEVER RECERTIFIED</v>
      </c>
      <c r="U108" s="9" t="str">
        <f aca="false">IF(OR(LEFT(M108,9)="EXCEPTION",LEFT(P108,9)="EXCEPTION",LEFT(S108,9)="EXCEPTION",LEFT(T108,9)="EXCEPTION"),"EXCEPTION","Clean")</f>
        <v>EXCEPTION</v>
      </c>
      <c r="V108" s="9" t="str">
        <f aca="false">IF(LEFT(M108,9)="EXCEPTION","Deprovisioning Control Gap",IF(LEFT(S108,9)="EXCEPTION","Segregation of Duties Conflict",IF(LEFT(P108,9)="EXCEPTION","Provisioning Approval Gap",IF(LEFT(T108,9)="EXCEPTION","Recertification Gap","N/A"))))</f>
        <v>Segregation of Duties Conflict</v>
      </c>
    </row>
    <row r="109" customFormat="false" ht="15" hidden="false" customHeight="true" outlineLevel="0" collapsed="false">
      <c r="A109" s="9" t="str">
        <f aca="false">Access_Grants!A109</f>
        <v>AG-0108</v>
      </c>
      <c r="B109" s="9" t="str">
        <f aca="false">Access_Grants!B109</f>
        <v>E032</v>
      </c>
      <c r="C109" s="9" t="str">
        <f aca="false">Access_Grants!C109</f>
        <v>Olivia Kim</v>
      </c>
      <c r="D109" s="9" t="str">
        <f aca="false">Access_Grants!D109</f>
        <v>HR</v>
      </c>
      <c r="E109" s="9" t="str">
        <f aca="false">Access_Grants!E109</f>
        <v>SYS-HRIS</v>
      </c>
      <c r="F109" s="9" t="str">
        <f aca="false">Access_Grants!F109</f>
        <v>R06</v>
      </c>
      <c r="G109" s="9" t="str">
        <f aca="false">Access_Grants!G109</f>
        <v>Payroll Data Entry</v>
      </c>
      <c r="H109" s="9" t="str">
        <f aca="false">Access_Grants!H109</f>
        <v>Write</v>
      </c>
      <c r="I109" s="9" t="str">
        <f aca="false">Access_Grants!L109</f>
        <v>Active</v>
      </c>
      <c r="J109" s="10" t="n">
        <f aca="false">Access_Grants!I109</f>
        <v>45754</v>
      </c>
      <c r="K109" s="10" t="n">
        <f aca="false">IFERROR(INDEX(HR_Employees!$F$2:$F$51,MATCH(B109,HR_Employees!$A$2:$A$51,0)),"")</f>
        <v>0</v>
      </c>
      <c r="L109" s="10" t="str">
        <f aca="false">IF(Access_Grants!M109="","",Access_Grants!M109)</f>
        <v/>
      </c>
      <c r="M109" s="9" t="str">
        <f aca="false">IF(K109="","N/A - Active Employee",IF(OR(I109="Active",AND(L109&lt;&gt;"",L109&gt;K109+5)),"EXCEPTION: TERMINATED USER - ACCESS NOT REVOKED TIMELY","OK - Revoked Within SLA"))</f>
        <v>N/A - Active Employee</v>
      </c>
      <c r="N109" s="9" t="str">
        <f aca="false">Access_Grants!J109&amp;""</f>
        <v>MGR-05</v>
      </c>
      <c r="O109" s="9" t="str">
        <f aca="false">Access_Grants!K109&amp;""</f>
        <v>CHG-12875</v>
      </c>
      <c r="P109" s="9" t="str">
        <f aca="false">IF(OR(TRIM(N109)="",TRIM(O109)=""),"EXCEPTION: NO DOCUMENTED APPROVAL","OK - Approved")</f>
        <v>OK - Approved</v>
      </c>
      <c r="Q109" s="9" t="str">
        <f aca="false">IFERROR(INDEX(SoD_Conflict_Matrix!$D$2:$D$7,MATCH(F109,SoD_Conflict_Matrix!$B$2:$B$7,0)),IFERROR(INDEX(SoD_Conflict_Matrix!$B$2:$B$7,MATCH(F109,SoD_Conflict_Matrix!$D$2:$D$7,0)),""))</f>
        <v>R07</v>
      </c>
      <c r="R109" s="9" t="str">
        <f aca="false">IFERROR(INDEX(SoD_Conflict_Matrix!$E$2:$E$7,MATCH(F109,SoD_Conflict_Matrix!$B$2:$B$7,0)),IFERROR(INDEX(SoD_Conflict_Matrix!$C$2:$C$7,MATCH(F109,SoD_Conflict_Matrix!$D$2:$D$7,0)),""))</f>
        <v>Payroll Approval / Release</v>
      </c>
      <c r="S109" s="9" t="str">
        <f aca="false">IF(Q109="","No Conflict Rule Applies to This Role",IF(COUNTIFS(Access_Grants!$B$2:$B$175,B109,Access_Grants!$F$2:$F$175,Q109,Access_Grants!$L$2:$L$175,"Active")&gt;0,"EXCEPTION: SoD CONFLICT - ALSO HOLDS "&amp;R109,"OK - No Conflicting Role Held"))</f>
        <v>OK - No Conflicting Role Held</v>
      </c>
      <c r="T109" s="9" t="str">
        <f aca="false">IF(AND(H109="Admin",I109="Active"),IF(COUNTIFS(Recertifications!$B$2:$B$119,B109,Recertifications!$E$2:$E$119,F109,Recertifications!$K$2:$K$119,"&lt;&gt;")&gt;0,"OK - Recertified","EXCEPTION: PRIVILEGED ACCESS NEVER RECERTIFIED"),"N/A - Not Privileged")</f>
        <v>N/A - Not Privileged</v>
      </c>
      <c r="U109" s="9" t="str">
        <f aca="false">IF(OR(LEFT(M109,9)="EXCEPTION",LEFT(P109,9)="EXCEPTION",LEFT(S109,9)="EXCEPTION",LEFT(T109,9)="EXCEPTION"),"EXCEPTION","Clean")</f>
        <v>Clean</v>
      </c>
      <c r="V109" s="9" t="str">
        <f aca="false">IF(LEFT(M109,9)="EXCEPTION","Deprovisioning Control Gap",IF(LEFT(S109,9)="EXCEPTION","Segregation of Duties Conflict",IF(LEFT(P109,9)="EXCEPTION","Provisioning Approval Gap",IF(LEFT(T109,9)="EXCEPTION","Recertification Gap","N/A"))))</f>
        <v>N/A</v>
      </c>
    </row>
    <row r="110" customFormat="false" ht="15" hidden="false" customHeight="true" outlineLevel="0" collapsed="false">
      <c r="A110" s="9" t="str">
        <f aca="false">Access_Grants!A110</f>
        <v>AG-0109</v>
      </c>
      <c r="B110" s="9" t="str">
        <f aca="false">Access_Grants!B110</f>
        <v>E032</v>
      </c>
      <c r="C110" s="9" t="str">
        <f aca="false">Access_Grants!C110</f>
        <v>Olivia Kim</v>
      </c>
      <c r="D110" s="9" t="str">
        <f aca="false">Access_Grants!D110</f>
        <v>HR</v>
      </c>
      <c r="E110" s="9" t="str">
        <f aca="false">Access_Grants!E110</f>
        <v>SYS-HRIS</v>
      </c>
      <c r="F110" s="9" t="str">
        <f aca="false">Access_Grants!F110</f>
        <v>R08</v>
      </c>
      <c r="G110" s="9" t="str">
        <f aca="false">Access_Grants!G110</f>
        <v>Employee Master Read-Only</v>
      </c>
      <c r="H110" s="9" t="str">
        <f aca="false">Access_Grants!H110</f>
        <v>Read</v>
      </c>
      <c r="I110" s="9" t="str">
        <f aca="false">Access_Grants!L110</f>
        <v>Active</v>
      </c>
      <c r="J110" s="10" t="n">
        <f aca="false">Access_Grants!I110</f>
        <v>45711</v>
      </c>
      <c r="K110" s="10" t="n">
        <f aca="false">IFERROR(INDEX(HR_Employees!$F$2:$F$51,MATCH(B110,HR_Employees!$A$2:$A$51,0)),"")</f>
        <v>0</v>
      </c>
      <c r="L110" s="10" t="str">
        <f aca="false">IF(Access_Grants!M110="","",Access_Grants!M110)</f>
        <v/>
      </c>
      <c r="M110" s="9" t="str">
        <f aca="false">IF(K110="","N/A - Active Employee",IF(OR(I110="Active",AND(L110&lt;&gt;"",L110&gt;K110+5)),"EXCEPTION: TERMINATED USER - ACCESS NOT REVOKED TIMELY","OK - Revoked Within SLA"))</f>
        <v>N/A - Active Employee</v>
      </c>
      <c r="N110" s="9" t="str">
        <f aca="false">Access_Grants!J110&amp;""</f>
        <v>MGR-01</v>
      </c>
      <c r="O110" s="9" t="str">
        <f aca="false">Access_Grants!K110&amp;""</f>
        <v>CHG-84177</v>
      </c>
      <c r="P110" s="9" t="str">
        <f aca="false">IF(OR(TRIM(N110)="",TRIM(O110)=""),"EXCEPTION: NO DOCUMENTED APPROVAL","OK - Approved")</f>
        <v>OK - Approved</v>
      </c>
      <c r="Q110" s="9" t="str">
        <f aca="false">IFERROR(INDEX(SoD_Conflict_Matrix!$D$2:$D$7,MATCH(F110,SoD_Conflict_Matrix!$B$2:$B$7,0)),IFERROR(INDEX(SoD_Conflict_Matrix!$B$2:$B$7,MATCH(F110,SoD_Conflict_Matrix!$D$2:$D$7,0)),""))</f>
        <v/>
      </c>
      <c r="R110" s="9" t="str">
        <f aca="false">IFERROR(INDEX(SoD_Conflict_Matrix!$E$2:$E$7,MATCH(F110,SoD_Conflict_Matrix!$B$2:$B$7,0)),IFERROR(INDEX(SoD_Conflict_Matrix!$C$2:$C$7,MATCH(F110,SoD_Conflict_Matrix!$D$2:$D$7,0)),""))</f>
        <v/>
      </c>
      <c r="S110" s="9" t="str">
        <f aca="false">IF(Q110="","No Conflict Rule Applies to This Role",IF(COUNTIFS(Access_Grants!$B$2:$B$175,B110,Access_Grants!$F$2:$F$175,Q110,Access_Grants!$L$2:$L$175,"Active")&gt;0,"EXCEPTION: SoD CONFLICT - ALSO HOLDS "&amp;R110,"OK - No Conflicting Role Held"))</f>
        <v>No Conflict Rule Applies to This Role</v>
      </c>
      <c r="T110" s="9" t="str">
        <f aca="false">IF(AND(H110="Admin",I110="Active"),IF(COUNTIFS(Recertifications!$B$2:$B$119,B110,Recertifications!$E$2:$E$119,F110,Recertifications!$K$2:$K$119,"&lt;&gt;")&gt;0,"OK - Recertified","EXCEPTION: PRIVILEGED ACCESS NEVER RECERTIFIED"),"N/A - Not Privileged")</f>
        <v>N/A - Not Privileged</v>
      </c>
      <c r="U110" s="9" t="str">
        <f aca="false">IF(OR(LEFT(M110,9)="EXCEPTION",LEFT(P110,9)="EXCEPTION",LEFT(S110,9)="EXCEPTION",LEFT(T110,9)="EXCEPTION"),"EXCEPTION","Clean")</f>
        <v>Clean</v>
      </c>
      <c r="V110" s="9" t="str">
        <f aca="false">IF(LEFT(M110,9)="EXCEPTION","Deprovisioning Control Gap",IF(LEFT(S110,9)="EXCEPTION","Segregation of Duties Conflict",IF(LEFT(P110,9)="EXCEPTION","Provisioning Approval Gap",IF(LEFT(T110,9)="EXCEPTION","Recertification Gap","N/A"))))</f>
        <v>N/A</v>
      </c>
    </row>
    <row r="111" customFormat="false" ht="15" hidden="false" customHeight="true" outlineLevel="0" collapsed="false">
      <c r="A111" s="9" t="str">
        <f aca="false">Access_Grants!A111</f>
        <v>AG-0110</v>
      </c>
      <c r="B111" s="9" t="str">
        <f aca="false">Access_Grants!B111</f>
        <v>E032</v>
      </c>
      <c r="C111" s="9" t="str">
        <f aca="false">Access_Grants!C111</f>
        <v>Olivia Kim</v>
      </c>
      <c r="D111" s="9" t="str">
        <f aca="false">Access_Grants!D111</f>
        <v>HR</v>
      </c>
      <c r="E111" s="9" t="str">
        <f aca="false">Access_Grants!E111</f>
        <v>SYS-AD</v>
      </c>
      <c r="F111" s="9" t="str">
        <f aca="false">Access_Grants!F111</f>
        <v>R09</v>
      </c>
      <c r="G111" s="9" t="str">
        <f aca="false">Access_Grants!G111</f>
        <v>Standard Network User</v>
      </c>
      <c r="H111" s="9" t="str">
        <f aca="false">Access_Grants!H111</f>
        <v>Read</v>
      </c>
      <c r="I111" s="9" t="str">
        <f aca="false">Access_Grants!L111</f>
        <v>Active</v>
      </c>
      <c r="J111" s="10" t="n">
        <f aca="false">Access_Grants!I111</f>
        <v>45249</v>
      </c>
      <c r="K111" s="10" t="n">
        <f aca="false">IFERROR(INDEX(HR_Employees!$F$2:$F$51,MATCH(B111,HR_Employees!$A$2:$A$51,0)),"")</f>
        <v>0</v>
      </c>
      <c r="L111" s="10" t="str">
        <f aca="false">IF(Access_Grants!M111="","",Access_Grants!M111)</f>
        <v/>
      </c>
      <c r="M111" s="9" t="str">
        <f aca="false">IF(K111="","N/A - Active Employee",IF(OR(I111="Active",AND(L111&lt;&gt;"",L111&gt;K111+5)),"EXCEPTION: TERMINATED USER - ACCESS NOT REVOKED TIMELY","OK - Revoked Within SLA"))</f>
        <v>N/A - Active Employee</v>
      </c>
      <c r="N111" s="9" t="str">
        <f aca="false">Access_Grants!J111&amp;""</f>
        <v>MGR-10</v>
      </c>
      <c r="O111" s="9" t="str">
        <f aca="false">Access_Grants!K111&amp;""</f>
        <v>CHG-75107</v>
      </c>
      <c r="P111" s="9" t="str">
        <f aca="false">IF(OR(TRIM(N111)="",TRIM(O111)=""),"EXCEPTION: NO DOCUMENTED APPROVAL","OK - Approved")</f>
        <v>OK - Approved</v>
      </c>
      <c r="Q111" s="9" t="str">
        <f aca="false">IFERROR(INDEX(SoD_Conflict_Matrix!$D$2:$D$7,MATCH(F111,SoD_Conflict_Matrix!$B$2:$B$7,0)),IFERROR(INDEX(SoD_Conflict_Matrix!$B$2:$B$7,MATCH(F111,SoD_Conflict_Matrix!$D$2:$D$7,0)),""))</f>
        <v/>
      </c>
      <c r="R111" s="9" t="str">
        <f aca="false">IFERROR(INDEX(SoD_Conflict_Matrix!$E$2:$E$7,MATCH(F111,SoD_Conflict_Matrix!$B$2:$B$7,0)),IFERROR(INDEX(SoD_Conflict_Matrix!$C$2:$C$7,MATCH(F111,SoD_Conflict_Matrix!$D$2:$D$7,0)),""))</f>
        <v/>
      </c>
      <c r="S111" s="9" t="str">
        <f aca="false">IF(Q111="","No Conflict Rule Applies to This Role",IF(COUNTIFS(Access_Grants!$B$2:$B$175,B111,Access_Grants!$F$2:$F$175,Q111,Access_Grants!$L$2:$L$175,"Active")&gt;0,"EXCEPTION: SoD CONFLICT - ALSO HOLDS "&amp;R111,"OK - No Conflicting Role Held"))</f>
        <v>No Conflict Rule Applies to This Role</v>
      </c>
      <c r="T111" s="9" t="str">
        <f aca="false">IF(AND(H111="Admin",I111="Active"),IF(COUNTIFS(Recertifications!$B$2:$B$119,B111,Recertifications!$E$2:$E$119,F111,Recertifications!$K$2:$K$119,"&lt;&gt;")&gt;0,"OK - Recertified","EXCEPTION: PRIVILEGED ACCESS NEVER RECERTIFIED"),"N/A - Not Privileged")</f>
        <v>N/A - Not Privileged</v>
      </c>
      <c r="U111" s="9" t="str">
        <f aca="false">IF(OR(LEFT(M111,9)="EXCEPTION",LEFT(P111,9)="EXCEPTION",LEFT(S111,9)="EXCEPTION",LEFT(T111,9)="EXCEPTION"),"EXCEPTION","Clean")</f>
        <v>Clean</v>
      </c>
      <c r="V111" s="9" t="str">
        <f aca="false">IF(LEFT(M111,9)="EXCEPTION","Deprovisioning Control Gap",IF(LEFT(S111,9)="EXCEPTION","Segregation of Duties Conflict",IF(LEFT(P111,9)="EXCEPTION","Provisioning Approval Gap",IF(LEFT(T111,9)="EXCEPTION","Recertification Gap","N/A"))))</f>
        <v>N/A</v>
      </c>
    </row>
    <row r="112" customFormat="false" ht="15" hidden="false" customHeight="true" outlineLevel="0" collapsed="false">
      <c r="A112" s="9" t="str">
        <f aca="false">Access_Grants!A112</f>
        <v>AG-0111</v>
      </c>
      <c r="B112" s="9" t="str">
        <f aca="false">Access_Grants!B112</f>
        <v>E033</v>
      </c>
      <c r="C112" s="9" t="str">
        <f aca="false">Access_Grants!C112</f>
        <v>Liam Garcia</v>
      </c>
      <c r="D112" s="9" t="str">
        <f aca="false">Access_Grants!D112</f>
        <v>HR</v>
      </c>
      <c r="E112" s="9" t="str">
        <f aca="false">Access_Grants!E112</f>
        <v>SYS-HRIS</v>
      </c>
      <c r="F112" s="9" t="str">
        <f aca="false">Access_Grants!F112</f>
        <v>R07</v>
      </c>
      <c r="G112" s="9" t="str">
        <f aca="false">Access_Grants!G112</f>
        <v>Payroll Approval / Release</v>
      </c>
      <c r="H112" s="9" t="str">
        <f aca="false">Access_Grants!H112</f>
        <v>Admin</v>
      </c>
      <c r="I112" s="9" t="str">
        <f aca="false">Access_Grants!L112</f>
        <v>Active</v>
      </c>
      <c r="J112" s="10" t="n">
        <f aca="false">Access_Grants!I112</f>
        <v>46198</v>
      </c>
      <c r="K112" s="10" t="n">
        <f aca="false">IFERROR(INDEX(HR_Employees!$F$2:$F$51,MATCH(B112,HR_Employees!$A$2:$A$51,0)),"")</f>
        <v>0</v>
      </c>
      <c r="L112" s="10" t="str">
        <f aca="false">IF(Access_Grants!M112="","",Access_Grants!M112)</f>
        <v/>
      </c>
      <c r="M112" s="9" t="str">
        <f aca="false">IF(K112="","N/A - Active Employee",IF(OR(I112="Active",AND(L112&lt;&gt;"",L112&gt;K112+5)),"EXCEPTION: TERMINATED USER - ACCESS NOT REVOKED TIMELY","OK - Revoked Within SLA"))</f>
        <v>N/A - Active Employee</v>
      </c>
      <c r="N112" s="9" t="str">
        <f aca="false">Access_Grants!J112&amp;""</f>
        <v>MGR-05</v>
      </c>
      <c r="O112" s="9" t="str">
        <f aca="false">Access_Grants!K112&amp;""</f>
        <v>CHG-98835</v>
      </c>
      <c r="P112" s="9" t="str">
        <f aca="false">IF(OR(TRIM(N112)="",TRIM(O112)=""),"EXCEPTION: NO DOCUMENTED APPROVAL","OK - Approved")</f>
        <v>OK - Approved</v>
      </c>
      <c r="Q112" s="9" t="str">
        <f aca="false">IFERROR(INDEX(SoD_Conflict_Matrix!$D$2:$D$7,MATCH(F112,SoD_Conflict_Matrix!$B$2:$B$7,0)),IFERROR(INDEX(SoD_Conflict_Matrix!$B$2:$B$7,MATCH(F112,SoD_Conflict_Matrix!$D$2:$D$7,0)),""))</f>
        <v>R06</v>
      </c>
      <c r="R112" s="9" t="str">
        <f aca="false">IFERROR(INDEX(SoD_Conflict_Matrix!$E$2:$E$7,MATCH(F112,SoD_Conflict_Matrix!$B$2:$B$7,0)),IFERROR(INDEX(SoD_Conflict_Matrix!$C$2:$C$7,MATCH(F112,SoD_Conflict_Matrix!$D$2:$D$7,0)),""))</f>
        <v>Payroll Data Entry</v>
      </c>
      <c r="S112" s="9" t="str">
        <f aca="false">IF(Q112="","No Conflict Rule Applies to This Role",IF(COUNTIFS(Access_Grants!$B$2:$B$175,B112,Access_Grants!$F$2:$F$175,Q112,Access_Grants!$L$2:$L$175,"Active")&gt;0,"EXCEPTION: SoD CONFLICT - ALSO HOLDS "&amp;R112,"OK - No Conflicting Role Held"))</f>
        <v>EXCEPTION: SoD CONFLICT - ALSO HOLDS Payroll Data Entry</v>
      </c>
      <c r="T112" s="9" t="str">
        <f aca="false">IF(AND(H112="Admin",I112="Active"),IF(COUNTIFS(Recertifications!$B$2:$B$119,B112,Recertifications!$E$2:$E$119,F112,Recertifications!$K$2:$K$119,"&lt;&gt;")&gt;0,"OK - Recertified","EXCEPTION: PRIVILEGED ACCESS NEVER RECERTIFIED"),"N/A - Not Privileged")</f>
        <v>EXCEPTION: PRIVILEGED ACCESS NEVER RECERTIFIED</v>
      </c>
      <c r="U112" s="9" t="str">
        <f aca="false">IF(OR(LEFT(M112,9)="EXCEPTION",LEFT(P112,9)="EXCEPTION",LEFT(S112,9)="EXCEPTION",LEFT(T112,9)="EXCEPTION"),"EXCEPTION","Clean")</f>
        <v>EXCEPTION</v>
      </c>
      <c r="V112" s="9" t="str">
        <f aca="false">IF(LEFT(M112,9)="EXCEPTION","Deprovisioning Control Gap",IF(LEFT(S112,9)="EXCEPTION","Segregation of Duties Conflict",IF(LEFT(P112,9)="EXCEPTION","Provisioning Approval Gap",IF(LEFT(T112,9)="EXCEPTION","Recertification Gap","N/A"))))</f>
        <v>Segregation of Duties Conflict</v>
      </c>
    </row>
    <row r="113" customFormat="false" ht="15" hidden="false" customHeight="true" outlineLevel="0" collapsed="false">
      <c r="A113" s="9" t="str">
        <f aca="false">Access_Grants!A113</f>
        <v>AG-0112</v>
      </c>
      <c r="B113" s="9" t="str">
        <f aca="false">Access_Grants!B113</f>
        <v>E033</v>
      </c>
      <c r="C113" s="9" t="str">
        <f aca="false">Access_Grants!C113</f>
        <v>Liam Garcia</v>
      </c>
      <c r="D113" s="9" t="str">
        <f aca="false">Access_Grants!D113</f>
        <v>HR</v>
      </c>
      <c r="E113" s="9" t="str">
        <f aca="false">Access_Grants!E113</f>
        <v>SYS-HRIS</v>
      </c>
      <c r="F113" s="9" t="str">
        <f aca="false">Access_Grants!F113</f>
        <v>R06</v>
      </c>
      <c r="G113" s="9" t="str">
        <f aca="false">Access_Grants!G113</f>
        <v>Payroll Data Entry</v>
      </c>
      <c r="H113" s="9" t="str">
        <f aca="false">Access_Grants!H113</f>
        <v>Write</v>
      </c>
      <c r="I113" s="9" t="str">
        <f aca="false">Access_Grants!L113</f>
        <v>Active</v>
      </c>
      <c r="J113" s="10" t="n">
        <f aca="false">Access_Grants!I113</f>
        <v>45207</v>
      </c>
      <c r="K113" s="10" t="n">
        <f aca="false">IFERROR(INDEX(HR_Employees!$F$2:$F$51,MATCH(B113,HR_Employees!$A$2:$A$51,0)),"")</f>
        <v>0</v>
      </c>
      <c r="L113" s="10" t="str">
        <f aca="false">IF(Access_Grants!M113="","",Access_Grants!M113)</f>
        <v/>
      </c>
      <c r="M113" s="9" t="str">
        <f aca="false">IF(K113="","N/A - Active Employee",IF(OR(I113="Active",AND(L113&lt;&gt;"",L113&gt;K113+5)),"EXCEPTION: TERMINATED USER - ACCESS NOT REVOKED TIMELY","OK - Revoked Within SLA"))</f>
        <v>N/A - Active Employee</v>
      </c>
      <c r="N113" s="9" t="str">
        <f aca="false">Access_Grants!J113&amp;""</f>
        <v>System Auto-Provision</v>
      </c>
      <c r="O113" s="9" t="str">
        <f aca="false">Access_Grants!K113&amp;""</f>
        <v>CHG-22735</v>
      </c>
      <c r="P113" s="9" t="str">
        <f aca="false">IF(OR(TRIM(N113)="",TRIM(O113)=""),"EXCEPTION: NO DOCUMENTED APPROVAL","OK - Approved")</f>
        <v>OK - Approved</v>
      </c>
      <c r="Q113" s="9" t="str">
        <f aca="false">IFERROR(INDEX(SoD_Conflict_Matrix!$D$2:$D$7,MATCH(F113,SoD_Conflict_Matrix!$B$2:$B$7,0)),IFERROR(INDEX(SoD_Conflict_Matrix!$B$2:$B$7,MATCH(F113,SoD_Conflict_Matrix!$D$2:$D$7,0)),""))</f>
        <v>R07</v>
      </c>
      <c r="R113" s="9" t="str">
        <f aca="false">IFERROR(INDEX(SoD_Conflict_Matrix!$E$2:$E$7,MATCH(F113,SoD_Conflict_Matrix!$B$2:$B$7,0)),IFERROR(INDEX(SoD_Conflict_Matrix!$C$2:$C$7,MATCH(F113,SoD_Conflict_Matrix!$D$2:$D$7,0)),""))</f>
        <v>Payroll Approval / Release</v>
      </c>
      <c r="S113" s="9" t="str">
        <f aca="false">IF(Q113="","No Conflict Rule Applies to This Role",IF(COUNTIFS(Access_Grants!$B$2:$B$175,B113,Access_Grants!$F$2:$F$175,Q113,Access_Grants!$L$2:$L$175,"Active")&gt;0,"EXCEPTION: SoD CONFLICT - ALSO HOLDS "&amp;R113,"OK - No Conflicting Role Held"))</f>
        <v>EXCEPTION: SoD CONFLICT - ALSO HOLDS Payroll Approval / Release</v>
      </c>
      <c r="T113" s="9" t="str">
        <f aca="false">IF(AND(H113="Admin",I113="Active"),IF(COUNTIFS(Recertifications!$B$2:$B$119,B113,Recertifications!$E$2:$E$119,F113,Recertifications!$K$2:$K$119,"&lt;&gt;")&gt;0,"OK - Recertified","EXCEPTION: PRIVILEGED ACCESS NEVER RECERTIFIED"),"N/A - Not Privileged")</f>
        <v>N/A - Not Privileged</v>
      </c>
      <c r="U113" s="9" t="str">
        <f aca="false">IF(OR(LEFT(M113,9)="EXCEPTION",LEFT(P113,9)="EXCEPTION",LEFT(S113,9)="EXCEPTION",LEFT(T113,9)="EXCEPTION"),"EXCEPTION","Clean")</f>
        <v>EXCEPTION</v>
      </c>
      <c r="V113" s="9" t="str">
        <f aca="false">IF(LEFT(M113,9)="EXCEPTION","Deprovisioning Control Gap",IF(LEFT(S113,9)="EXCEPTION","Segregation of Duties Conflict",IF(LEFT(P113,9)="EXCEPTION","Provisioning Approval Gap",IF(LEFT(T113,9)="EXCEPTION","Recertification Gap","N/A"))))</f>
        <v>Segregation of Duties Conflict</v>
      </c>
    </row>
    <row r="114" customFormat="false" ht="15" hidden="false" customHeight="true" outlineLevel="0" collapsed="false">
      <c r="A114" s="9" t="str">
        <f aca="false">Access_Grants!A114</f>
        <v>AG-0113</v>
      </c>
      <c r="B114" s="9" t="str">
        <f aca="false">Access_Grants!B114</f>
        <v>E034</v>
      </c>
      <c r="C114" s="9" t="str">
        <f aca="false">Access_Grants!C114</f>
        <v>Rahul Nakamura</v>
      </c>
      <c r="D114" s="9" t="str">
        <f aca="false">Access_Grants!D114</f>
        <v>Procurement</v>
      </c>
      <c r="E114" s="9" t="str">
        <f aca="false">Access_Grants!E114</f>
        <v>SYS-ERP</v>
      </c>
      <c r="F114" s="9" t="str">
        <f aca="false">Access_Grants!F114</f>
        <v>R03</v>
      </c>
      <c r="G114" s="9" t="str">
        <f aca="false">Access_Grants!G114</f>
        <v>Vendor Master Maintenance</v>
      </c>
      <c r="H114" s="9" t="str">
        <f aca="false">Access_Grants!H114</f>
        <v>Write</v>
      </c>
      <c r="I114" s="9" t="str">
        <f aca="false">Access_Grants!L114</f>
        <v>Active</v>
      </c>
      <c r="J114" s="10" t="n">
        <f aca="false">Access_Grants!I114</f>
        <v>45395</v>
      </c>
      <c r="K114" s="10" t="n">
        <f aca="false">IFERROR(INDEX(HR_Employees!$F$2:$F$51,MATCH(B114,HR_Employees!$A$2:$A$51,0)),"")</f>
        <v>45845</v>
      </c>
      <c r="L114" s="10" t="str">
        <f aca="false">IF(Access_Grants!M114="","",Access_Grants!M114)</f>
        <v/>
      </c>
      <c r="M114" s="9" t="str">
        <f aca="false">IF(K114="","N/A - Active Employee",IF(OR(I114="Active",AND(L114&lt;&gt;"",L114&gt;K114+5)),"EXCEPTION: TERMINATED USER - ACCESS NOT REVOKED TIMELY","OK - Revoked Within SLA"))</f>
        <v>EXCEPTION: TERMINATED USER - ACCESS NOT REVOKED TIMELY</v>
      </c>
      <c r="N114" s="9" t="str">
        <f aca="false">Access_Grants!J114&amp;""</f>
        <v>MGR-05</v>
      </c>
      <c r="O114" s="9" t="str">
        <f aca="false">Access_Grants!K114&amp;""</f>
        <v>CHG-52823</v>
      </c>
      <c r="P114" s="9" t="str">
        <f aca="false">IF(OR(TRIM(N114)="",TRIM(O114)=""),"EXCEPTION: NO DOCUMENTED APPROVAL","OK - Approved")</f>
        <v>OK - Approved</v>
      </c>
      <c r="Q114" s="9" t="str">
        <f aca="false">IFERROR(INDEX(SoD_Conflict_Matrix!$D$2:$D$7,MATCH(F114,SoD_Conflict_Matrix!$B$2:$B$7,0)),IFERROR(INDEX(SoD_Conflict_Matrix!$B$2:$B$7,MATCH(F114,SoD_Conflict_Matrix!$D$2:$D$7,0)),""))</f>
        <v>R02</v>
      </c>
      <c r="R114" s="9" t="str">
        <f aca="false">IFERROR(INDEX(SoD_Conflict_Matrix!$E$2:$E$7,MATCH(F114,SoD_Conflict_Matrix!$B$2:$B$7,0)),IFERROR(INDEX(SoD_Conflict_Matrix!$C$2:$C$7,MATCH(F114,SoD_Conflict_Matrix!$D$2:$D$7,0)),""))</f>
        <v>AP Payment Approval</v>
      </c>
      <c r="S114" s="9" t="str">
        <f aca="false">IF(Q114="","No Conflict Rule Applies to This Role",IF(COUNTIFS(Access_Grants!$B$2:$B$175,B114,Access_Grants!$F$2:$F$175,Q114,Access_Grants!$L$2:$L$175,"Active")&gt;0,"EXCEPTION: SoD CONFLICT - ALSO HOLDS "&amp;R114,"OK - No Conflicting Role Held"))</f>
        <v>OK - No Conflicting Role Held</v>
      </c>
      <c r="T114" s="9" t="str">
        <f aca="false">IF(AND(H114="Admin",I114="Active"),IF(COUNTIFS(Recertifications!$B$2:$B$119,B114,Recertifications!$E$2:$E$119,F114,Recertifications!$K$2:$K$119,"&lt;&gt;")&gt;0,"OK - Recertified","EXCEPTION: PRIVILEGED ACCESS NEVER RECERTIFIED"),"N/A - Not Privileged")</f>
        <v>N/A - Not Privileged</v>
      </c>
      <c r="U114" s="9" t="str">
        <f aca="false">IF(OR(LEFT(M114,9)="EXCEPTION",LEFT(P114,9)="EXCEPTION",LEFT(S114,9)="EXCEPTION",LEFT(T114,9)="EXCEPTION"),"EXCEPTION","Clean")</f>
        <v>EXCEPTION</v>
      </c>
      <c r="V114" s="9" t="str">
        <f aca="false">IF(LEFT(M114,9)="EXCEPTION","Deprovisioning Control Gap",IF(LEFT(S114,9)="EXCEPTION","Segregation of Duties Conflict",IF(LEFT(P114,9)="EXCEPTION","Provisioning Approval Gap",IF(LEFT(T114,9)="EXCEPTION","Recertification Gap","N/A"))))</f>
        <v>Deprovisioning Control Gap</v>
      </c>
    </row>
    <row r="115" customFormat="false" ht="15" hidden="false" customHeight="true" outlineLevel="0" collapsed="false">
      <c r="A115" s="9" t="str">
        <f aca="false">Access_Grants!A115</f>
        <v>AG-0114</v>
      </c>
      <c r="B115" s="9" t="str">
        <f aca="false">Access_Grants!B115</f>
        <v>E034</v>
      </c>
      <c r="C115" s="9" t="str">
        <f aca="false">Access_Grants!C115</f>
        <v>Rahul Nakamura</v>
      </c>
      <c r="D115" s="9" t="str">
        <f aca="false">Access_Grants!D115</f>
        <v>Procurement</v>
      </c>
      <c r="E115" s="9" t="str">
        <f aca="false">Access_Grants!E115</f>
        <v>SYS-ERP</v>
      </c>
      <c r="F115" s="9" t="str">
        <f aca="false">Access_Grants!F115</f>
        <v>R01</v>
      </c>
      <c r="G115" s="9" t="str">
        <f aca="false">Access_Grants!G115</f>
        <v>AP Invoice Entry</v>
      </c>
      <c r="H115" s="9" t="str">
        <f aca="false">Access_Grants!H115</f>
        <v>Write</v>
      </c>
      <c r="I115" s="9" t="str">
        <f aca="false">Access_Grants!L115</f>
        <v>Revoked</v>
      </c>
      <c r="J115" s="10" t="n">
        <f aca="false">Access_Grants!I115</f>
        <v>45438</v>
      </c>
      <c r="K115" s="10" t="n">
        <f aca="false">IFERROR(INDEX(HR_Employees!$F$2:$F$51,MATCH(B115,HR_Employees!$A$2:$A$51,0)),"")</f>
        <v>45845</v>
      </c>
      <c r="L115" s="10" t="n">
        <f aca="false">IF(Access_Grants!M115="","",Access_Grants!M115)</f>
        <v>45847</v>
      </c>
      <c r="M115" s="9" t="str">
        <f aca="false">IF(K115="","N/A - Active Employee",IF(OR(I115="Active",AND(L115&lt;&gt;"",L115&gt;K115+5)),"EXCEPTION: TERMINATED USER - ACCESS NOT REVOKED TIMELY","OK - Revoked Within SLA"))</f>
        <v>OK - Revoked Within SLA</v>
      </c>
      <c r="N115" s="9" t="str">
        <f aca="false">Access_Grants!J115&amp;""</f>
        <v>MGR-09</v>
      </c>
      <c r="O115" s="9" t="str">
        <f aca="false">Access_Grants!K115&amp;""</f>
        <v>CHG-57953</v>
      </c>
      <c r="P115" s="9" t="str">
        <f aca="false">IF(OR(TRIM(N115)="",TRIM(O115)=""),"EXCEPTION: NO DOCUMENTED APPROVAL","OK - Approved")</f>
        <v>OK - Approved</v>
      </c>
      <c r="Q115" s="9" t="str">
        <f aca="false">IFERROR(INDEX(SoD_Conflict_Matrix!$D$2:$D$7,MATCH(F115,SoD_Conflict_Matrix!$B$2:$B$7,0)),IFERROR(INDEX(SoD_Conflict_Matrix!$B$2:$B$7,MATCH(F115,SoD_Conflict_Matrix!$D$2:$D$7,0)),""))</f>
        <v>R02</v>
      </c>
      <c r="R115" s="9" t="str">
        <f aca="false">IFERROR(INDEX(SoD_Conflict_Matrix!$E$2:$E$7,MATCH(F115,SoD_Conflict_Matrix!$B$2:$B$7,0)),IFERROR(INDEX(SoD_Conflict_Matrix!$C$2:$C$7,MATCH(F115,SoD_Conflict_Matrix!$D$2:$D$7,0)),""))</f>
        <v>AP Payment Approval</v>
      </c>
      <c r="S115" s="9" t="str">
        <f aca="false">IF(Q115="","No Conflict Rule Applies to This Role",IF(COUNTIFS(Access_Grants!$B$2:$B$175,B115,Access_Grants!$F$2:$F$175,Q115,Access_Grants!$L$2:$L$175,"Active")&gt;0,"EXCEPTION: SoD CONFLICT - ALSO HOLDS "&amp;R115,"OK - No Conflicting Role Held"))</f>
        <v>OK - No Conflicting Role Held</v>
      </c>
      <c r="T115" s="9" t="str">
        <f aca="false">IF(AND(H115="Admin",I115="Active"),IF(COUNTIFS(Recertifications!$B$2:$B$119,B115,Recertifications!$E$2:$E$119,F115,Recertifications!$K$2:$K$119,"&lt;&gt;")&gt;0,"OK - Recertified","EXCEPTION: PRIVILEGED ACCESS NEVER RECERTIFIED"),"N/A - Not Privileged")</f>
        <v>N/A - Not Privileged</v>
      </c>
      <c r="U115" s="9" t="str">
        <f aca="false">IF(OR(LEFT(M115,9)="EXCEPTION",LEFT(P115,9)="EXCEPTION",LEFT(S115,9)="EXCEPTION",LEFT(T115,9)="EXCEPTION"),"EXCEPTION","Clean")</f>
        <v>Clean</v>
      </c>
      <c r="V115" s="9" t="str">
        <f aca="false">IF(LEFT(M115,9)="EXCEPTION","Deprovisioning Control Gap",IF(LEFT(S115,9)="EXCEPTION","Segregation of Duties Conflict",IF(LEFT(P115,9)="EXCEPTION","Provisioning Approval Gap",IF(LEFT(T115,9)="EXCEPTION","Recertification Gap","N/A"))))</f>
        <v>N/A</v>
      </c>
    </row>
    <row r="116" customFormat="false" ht="15" hidden="false" customHeight="true" outlineLevel="0" collapsed="false">
      <c r="A116" s="9" t="str">
        <f aca="false">Access_Grants!A116</f>
        <v>AG-0115</v>
      </c>
      <c r="B116" s="9" t="str">
        <f aca="false">Access_Grants!B116</f>
        <v>E034</v>
      </c>
      <c r="C116" s="9" t="str">
        <f aca="false">Access_Grants!C116</f>
        <v>Rahul Nakamura</v>
      </c>
      <c r="D116" s="9" t="str">
        <f aca="false">Access_Grants!D116</f>
        <v>Procurement</v>
      </c>
      <c r="E116" s="9" t="str">
        <f aca="false">Access_Grants!E116</f>
        <v>SYS-AD</v>
      </c>
      <c r="F116" s="9" t="str">
        <f aca="false">Access_Grants!F116</f>
        <v>R09</v>
      </c>
      <c r="G116" s="9" t="str">
        <f aca="false">Access_Grants!G116</f>
        <v>Standard Network User</v>
      </c>
      <c r="H116" s="9" t="str">
        <f aca="false">Access_Grants!H116</f>
        <v>Read</v>
      </c>
      <c r="I116" s="9" t="str">
        <f aca="false">Access_Grants!L116</f>
        <v>Active</v>
      </c>
      <c r="J116" s="10" t="n">
        <f aca="false">Access_Grants!I116</f>
        <v>45566</v>
      </c>
      <c r="K116" s="10" t="n">
        <f aca="false">IFERROR(INDEX(HR_Employees!$F$2:$F$51,MATCH(B116,HR_Employees!$A$2:$A$51,0)),"")</f>
        <v>45845</v>
      </c>
      <c r="L116" s="10" t="str">
        <f aca="false">IF(Access_Grants!M116="","",Access_Grants!M116)</f>
        <v/>
      </c>
      <c r="M116" s="9" t="str">
        <f aca="false">IF(K116="","N/A - Active Employee",IF(OR(I116="Active",AND(L116&lt;&gt;"",L116&gt;K116+5)),"EXCEPTION: TERMINATED USER - ACCESS NOT REVOKED TIMELY","OK - Revoked Within SLA"))</f>
        <v>EXCEPTION: TERMINATED USER - ACCESS NOT REVOKED TIMELY</v>
      </c>
      <c r="N116" s="9" t="str">
        <f aca="false">Access_Grants!J116&amp;""</f>
        <v>MGR-08</v>
      </c>
      <c r="O116" s="9" t="str">
        <f aca="false">Access_Grants!K116&amp;""</f>
        <v>CHG-48684</v>
      </c>
      <c r="P116" s="9" t="str">
        <f aca="false">IF(OR(TRIM(N116)="",TRIM(O116)=""),"EXCEPTION: NO DOCUMENTED APPROVAL","OK - Approved")</f>
        <v>OK - Approved</v>
      </c>
      <c r="Q116" s="9" t="str">
        <f aca="false">IFERROR(INDEX(SoD_Conflict_Matrix!$D$2:$D$7,MATCH(F116,SoD_Conflict_Matrix!$B$2:$B$7,0)),IFERROR(INDEX(SoD_Conflict_Matrix!$B$2:$B$7,MATCH(F116,SoD_Conflict_Matrix!$D$2:$D$7,0)),""))</f>
        <v/>
      </c>
      <c r="R116" s="9" t="str">
        <f aca="false">IFERROR(INDEX(SoD_Conflict_Matrix!$E$2:$E$7,MATCH(F116,SoD_Conflict_Matrix!$B$2:$B$7,0)),IFERROR(INDEX(SoD_Conflict_Matrix!$C$2:$C$7,MATCH(F116,SoD_Conflict_Matrix!$D$2:$D$7,0)),""))</f>
        <v/>
      </c>
      <c r="S116" s="9" t="str">
        <f aca="false">IF(Q116="","No Conflict Rule Applies to This Role",IF(COUNTIFS(Access_Grants!$B$2:$B$175,B116,Access_Grants!$F$2:$F$175,Q116,Access_Grants!$L$2:$L$175,"Active")&gt;0,"EXCEPTION: SoD CONFLICT - ALSO HOLDS "&amp;R116,"OK - No Conflicting Role Held"))</f>
        <v>No Conflict Rule Applies to This Role</v>
      </c>
      <c r="T116" s="9" t="str">
        <f aca="false">IF(AND(H116="Admin",I116="Active"),IF(COUNTIFS(Recertifications!$B$2:$B$119,B116,Recertifications!$E$2:$E$119,F116,Recertifications!$K$2:$K$119,"&lt;&gt;")&gt;0,"OK - Recertified","EXCEPTION: PRIVILEGED ACCESS NEVER RECERTIFIED"),"N/A - Not Privileged")</f>
        <v>N/A - Not Privileged</v>
      </c>
      <c r="U116" s="9" t="str">
        <f aca="false">IF(OR(LEFT(M116,9)="EXCEPTION",LEFT(P116,9)="EXCEPTION",LEFT(S116,9)="EXCEPTION",LEFT(T116,9)="EXCEPTION"),"EXCEPTION","Clean")</f>
        <v>EXCEPTION</v>
      </c>
      <c r="V116" s="9" t="str">
        <f aca="false">IF(LEFT(M116,9)="EXCEPTION","Deprovisioning Control Gap",IF(LEFT(S116,9)="EXCEPTION","Segregation of Duties Conflict",IF(LEFT(P116,9)="EXCEPTION","Provisioning Approval Gap",IF(LEFT(T116,9)="EXCEPTION","Recertification Gap","N/A"))))</f>
        <v>Deprovisioning Control Gap</v>
      </c>
    </row>
    <row r="117" customFormat="false" ht="15" hidden="false" customHeight="true" outlineLevel="0" collapsed="false">
      <c r="A117" s="9" t="str">
        <f aca="false">Access_Grants!A117</f>
        <v>AG-0116</v>
      </c>
      <c r="B117" s="9" t="str">
        <f aca="false">Access_Grants!B117</f>
        <v>E035</v>
      </c>
      <c r="C117" s="9" t="str">
        <f aca="false">Access_Grants!C117</f>
        <v>Chloe Kowalski</v>
      </c>
      <c r="D117" s="9" t="str">
        <f aca="false">Access_Grants!D117</f>
        <v>Accounts Payable</v>
      </c>
      <c r="E117" s="9" t="str">
        <f aca="false">Access_Grants!E117</f>
        <v>SYS-ERP</v>
      </c>
      <c r="F117" s="9" t="str">
        <f aca="false">Access_Grants!F117</f>
        <v>R03</v>
      </c>
      <c r="G117" s="9" t="str">
        <f aca="false">Access_Grants!G117</f>
        <v>Vendor Master Maintenance</v>
      </c>
      <c r="H117" s="9" t="str">
        <f aca="false">Access_Grants!H117</f>
        <v>Write</v>
      </c>
      <c r="I117" s="9" t="str">
        <f aca="false">Access_Grants!L117</f>
        <v>Active</v>
      </c>
      <c r="J117" s="10" t="n">
        <f aca="false">Access_Grants!I117</f>
        <v>46161</v>
      </c>
      <c r="K117" s="10" t="n">
        <f aca="false">IFERROR(INDEX(HR_Employees!$F$2:$F$51,MATCH(B117,HR_Employees!$A$2:$A$51,0)),"")</f>
        <v>0</v>
      </c>
      <c r="L117" s="10" t="str">
        <f aca="false">IF(Access_Grants!M117="","",Access_Grants!M117)</f>
        <v/>
      </c>
      <c r="M117" s="9" t="str">
        <f aca="false">IF(K117="","N/A - Active Employee",IF(OR(I117="Active",AND(L117&lt;&gt;"",L117&gt;K117+5)),"EXCEPTION: TERMINATED USER - ACCESS NOT REVOKED TIMELY","OK - Revoked Within SLA"))</f>
        <v>N/A - Active Employee</v>
      </c>
      <c r="N117" s="9" t="str">
        <f aca="false">Access_Grants!J117&amp;""</f>
        <v>System Auto-Provision</v>
      </c>
      <c r="O117" s="9" t="str">
        <f aca="false">Access_Grants!K117&amp;""</f>
        <v>CHG-98395</v>
      </c>
      <c r="P117" s="9" t="str">
        <f aca="false">IF(OR(TRIM(N117)="",TRIM(O117)=""),"EXCEPTION: NO DOCUMENTED APPROVAL","OK - Approved")</f>
        <v>OK - Approved</v>
      </c>
      <c r="Q117" s="9" t="str">
        <f aca="false">IFERROR(INDEX(SoD_Conflict_Matrix!$D$2:$D$7,MATCH(F117,SoD_Conflict_Matrix!$B$2:$B$7,0)),IFERROR(INDEX(SoD_Conflict_Matrix!$B$2:$B$7,MATCH(F117,SoD_Conflict_Matrix!$D$2:$D$7,0)),""))</f>
        <v>R02</v>
      </c>
      <c r="R117" s="9" t="str">
        <f aca="false">IFERROR(INDEX(SoD_Conflict_Matrix!$E$2:$E$7,MATCH(F117,SoD_Conflict_Matrix!$B$2:$B$7,0)),IFERROR(INDEX(SoD_Conflict_Matrix!$C$2:$C$7,MATCH(F117,SoD_Conflict_Matrix!$D$2:$D$7,0)),""))</f>
        <v>AP Payment Approval</v>
      </c>
      <c r="S117" s="9" t="str">
        <f aca="false">IF(Q117="","No Conflict Rule Applies to This Role",IF(COUNTIFS(Access_Grants!$B$2:$B$175,B117,Access_Grants!$F$2:$F$175,Q117,Access_Grants!$L$2:$L$175,"Active")&gt;0,"EXCEPTION: SoD CONFLICT - ALSO HOLDS "&amp;R117,"OK - No Conflicting Role Held"))</f>
        <v>EXCEPTION: SoD CONFLICT - ALSO HOLDS AP Payment Approval</v>
      </c>
      <c r="T117" s="9" t="str">
        <f aca="false">IF(AND(H117="Admin",I117="Active"),IF(COUNTIFS(Recertifications!$B$2:$B$119,B117,Recertifications!$E$2:$E$119,F117,Recertifications!$K$2:$K$119,"&lt;&gt;")&gt;0,"OK - Recertified","EXCEPTION: PRIVILEGED ACCESS NEVER RECERTIFIED"),"N/A - Not Privileged")</f>
        <v>N/A - Not Privileged</v>
      </c>
      <c r="U117" s="9" t="str">
        <f aca="false">IF(OR(LEFT(M117,9)="EXCEPTION",LEFT(P117,9)="EXCEPTION",LEFT(S117,9)="EXCEPTION",LEFT(T117,9)="EXCEPTION"),"EXCEPTION","Clean")</f>
        <v>EXCEPTION</v>
      </c>
      <c r="V117" s="9" t="str">
        <f aca="false">IF(LEFT(M117,9)="EXCEPTION","Deprovisioning Control Gap",IF(LEFT(S117,9)="EXCEPTION","Segregation of Duties Conflict",IF(LEFT(P117,9)="EXCEPTION","Provisioning Approval Gap",IF(LEFT(T117,9)="EXCEPTION","Recertification Gap","N/A"))))</f>
        <v>Segregation of Duties Conflict</v>
      </c>
    </row>
    <row r="118" customFormat="false" ht="15" hidden="false" customHeight="true" outlineLevel="0" collapsed="false">
      <c r="A118" s="9" t="str">
        <f aca="false">Access_Grants!A118</f>
        <v>AG-0117</v>
      </c>
      <c r="B118" s="9" t="str">
        <f aca="false">Access_Grants!B118</f>
        <v>E035</v>
      </c>
      <c r="C118" s="9" t="str">
        <f aca="false">Access_Grants!C118</f>
        <v>Chloe Kowalski</v>
      </c>
      <c r="D118" s="9" t="str">
        <f aca="false">Access_Grants!D118</f>
        <v>Accounts Payable</v>
      </c>
      <c r="E118" s="9" t="str">
        <f aca="false">Access_Grants!E118</f>
        <v>SYS-ERP</v>
      </c>
      <c r="F118" s="9" t="str">
        <f aca="false">Access_Grants!F118</f>
        <v>R01</v>
      </c>
      <c r="G118" s="9" t="str">
        <f aca="false">Access_Grants!G118</f>
        <v>AP Invoice Entry</v>
      </c>
      <c r="H118" s="9" t="str">
        <f aca="false">Access_Grants!H118</f>
        <v>Write</v>
      </c>
      <c r="I118" s="9" t="str">
        <f aca="false">Access_Grants!L118</f>
        <v>Active</v>
      </c>
      <c r="J118" s="10" t="n">
        <f aca="false">Access_Grants!I118</f>
        <v>46104</v>
      </c>
      <c r="K118" s="10" t="n">
        <f aca="false">IFERROR(INDEX(HR_Employees!$F$2:$F$51,MATCH(B118,HR_Employees!$A$2:$A$51,0)),"")</f>
        <v>0</v>
      </c>
      <c r="L118" s="10" t="str">
        <f aca="false">IF(Access_Grants!M118="","",Access_Grants!M118)</f>
        <v/>
      </c>
      <c r="M118" s="9" t="str">
        <f aca="false">IF(K118="","N/A - Active Employee",IF(OR(I118="Active",AND(L118&lt;&gt;"",L118&gt;K118+5)),"EXCEPTION: TERMINATED USER - ACCESS NOT REVOKED TIMELY","OK - Revoked Within SLA"))</f>
        <v>N/A - Active Employee</v>
      </c>
      <c r="N118" s="9" t="str">
        <f aca="false">Access_Grants!J118&amp;""</f>
        <v/>
      </c>
      <c r="O118" s="9" t="str">
        <f aca="false">Access_Grants!K118&amp;""</f>
        <v>CHG-57942</v>
      </c>
      <c r="P118" s="9" t="str">
        <f aca="false">IF(OR(TRIM(N118)="",TRIM(O118)=""),"EXCEPTION: NO DOCUMENTED APPROVAL","OK - Approved")</f>
        <v>EXCEPTION: NO DOCUMENTED APPROVAL</v>
      </c>
      <c r="Q118" s="9" t="str">
        <f aca="false">IFERROR(INDEX(SoD_Conflict_Matrix!$D$2:$D$7,MATCH(F118,SoD_Conflict_Matrix!$B$2:$B$7,0)),IFERROR(INDEX(SoD_Conflict_Matrix!$B$2:$B$7,MATCH(F118,SoD_Conflict_Matrix!$D$2:$D$7,0)),""))</f>
        <v>R02</v>
      </c>
      <c r="R118" s="9" t="str">
        <f aca="false">IFERROR(INDEX(SoD_Conflict_Matrix!$E$2:$E$7,MATCH(F118,SoD_Conflict_Matrix!$B$2:$B$7,0)),IFERROR(INDEX(SoD_Conflict_Matrix!$C$2:$C$7,MATCH(F118,SoD_Conflict_Matrix!$D$2:$D$7,0)),""))</f>
        <v>AP Payment Approval</v>
      </c>
      <c r="S118" s="9" t="str">
        <f aca="false">IF(Q118="","No Conflict Rule Applies to This Role",IF(COUNTIFS(Access_Grants!$B$2:$B$175,B118,Access_Grants!$F$2:$F$175,Q118,Access_Grants!$L$2:$L$175,"Active")&gt;0,"EXCEPTION: SoD CONFLICT - ALSO HOLDS "&amp;R118,"OK - No Conflicting Role Held"))</f>
        <v>EXCEPTION: SoD CONFLICT - ALSO HOLDS AP Payment Approval</v>
      </c>
      <c r="T118" s="9" t="str">
        <f aca="false">IF(AND(H118="Admin",I118="Active"),IF(COUNTIFS(Recertifications!$B$2:$B$119,B118,Recertifications!$E$2:$E$119,F118,Recertifications!$K$2:$K$119,"&lt;&gt;")&gt;0,"OK - Recertified","EXCEPTION: PRIVILEGED ACCESS NEVER RECERTIFIED"),"N/A - Not Privileged")</f>
        <v>N/A - Not Privileged</v>
      </c>
      <c r="U118" s="9" t="str">
        <f aca="false">IF(OR(LEFT(M118,9)="EXCEPTION",LEFT(P118,9)="EXCEPTION",LEFT(S118,9)="EXCEPTION",LEFT(T118,9)="EXCEPTION"),"EXCEPTION","Clean")</f>
        <v>EXCEPTION</v>
      </c>
      <c r="V118" s="9" t="str">
        <f aca="false">IF(LEFT(M118,9)="EXCEPTION","Deprovisioning Control Gap",IF(LEFT(S118,9)="EXCEPTION","Segregation of Duties Conflict",IF(LEFT(P118,9)="EXCEPTION","Provisioning Approval Gap",IF(LEFT(T118,9)="EXCEPTION","Recertification Gap","N/A"))))</f>
        <v>Segregation of Duties Conflict</v>
      </c>
    </row>
    <row r="119" customFormat="false" ht="15" hidden="false" customHeight="true" outlineLevel="0" collapsed="false">
      <c r="A119" s="9" t="str">
        <f aca="false">Access_Grants!A119</f>
        <v>AG-0118</v>
      </c>
      <c r="B119" s="9" t="str">
        <f aca="false">Access_Grants!B119</f>
        <v>E035</v>
      </c>
      <c r="C119" s="9" t="str">
        <f aca="false">Access_Grants!C119</f>
        <v>Chloe Kowalski</v>
      </c>
      <c r="D119" s="9" t="str">
        <f aca="false">Access_Grants!D119</f>
        <v>Accounts Payable</v>
      </c>
      <c r="E119" s="9" t="str">
        <f aca="false">Access_Grants!E119</f>
        <v>SYS-ERP</v>
      </c>
      <c r="F119" s="9" t="str">
        <f aca="false">Access_Grants!F119</f>
        <v>R02</v>
      </c>
      <c r="G119" s="9" t="str">
        <f aca="false">Access_Grants!G119</f>
        <v>AP Payment Approval</v>
      </c>
      <c r="H119" s="9" t="str">
        <f aca="false">Access_Grants!H119</f>
        <v>Write</v>
      </c>
      <c r="I119" s="9" t="str">
        <f aca="false">Access_Grants!L119</f>
        <v>Active</v>
      </c>
      <c r="J119" s="10" t="n">
        <f aca="false">Access_Grants!I119</f>
        <v>45407</v>
      </c>
      <c r="K119" s="10" t="n">
        <f aca="false">IFERROR(INDEX(HR_Employees!$F$2:$F$51,MATCH(B119,HR_Employees!$A$2:$A$51,0)),"")</f>
        <v>0</v>
      </c>
      <c r="L119" s="10" t="str">
        <f aca="false">IF(Access_Grants!M119="","",Access_Grants!M119)</f>
        <v/>
      </c>
      <c r="M119" s="9" t="str">
        <f aca="false">IF(K119="","N/A - Active Employee",IF(OR(I119="Active",AND(L119&lt;&gt;"",L119&gt;K119+5)),"EXCEPTION: TERMINATED USER - ACCESS NOT REVOKED TIMELY","OK - Revoked Within SLA"))</f>
        <v>N/A - Active Employee</v>
      </c>
      <c r="N119" s="9" t="str">
        <f aca="false">Access_Grants!J119&amp;""</f>
        <v>MGR-08</v>
      </c>
      <c r="O119" s="9" t="str">
        <f aca="false">Access_Grants!K119&amp;""</f>
        <v>CHG-58311</v>
      </c>
      <c r="P119" s="9" t="str">
        <f aca="false">IF(OR(TRIM(N119)="",TRIM(O119)=""),"EXCEPTION: NO DOCUMENTED APPROVAL","OK - Approved")</f>
        <v>OK - Approved</v>
      </c>
      <c r="Q119" s="9" t="str">
        <f aca="false">IFERROR(INDEX(SoD_Conflict_Matrix!$D$2:$D$7,MATCH(F119,SoD_Conflict_Matrix!$B$2:$B$7,0)),IFERROR(INDEX(SoD_Conflict_Matrix!$B$2:$B$7,MATCH(F119,SoD_Conflict_Matrix!$D$2:$D$7,0)),""))</f>
        <v>R01</v>
      </c>
      <c r="R119" s="9" t="str">
        <f aca="false">IFERROR(INDEX(SoD_Conflict_Matrix!$E$2:$E$7,MATCH(F119,SoD_Conflict_Matrix!$B$2:$B$7,0)),IFERROR(INDEX(SoD_Conflict_Matrix!$C$2:$C$7,MATCH(F119,SoD_Conflict_Matrix!$D$2:$D$7,0)),""))</f>
        <v>AP Invoice Entry</v>
      </c>
      <c r="S119" s="9" t="str">
        <f aca="false">IF(Q119="","No Conflict Rule Applies to This Role",IF(COUNTIFS(Access_Grants!$B$2:$B$175,B119,Access_Grants!$F$2:$F$175,Q119,Access_Grants!$L$2:$L$175,"Active")&gt;0,"EXCEPTION: SoD CONFLICT - ALSO HOLDS "&amp;R119,"OK - No Conflicting Role Held"))</f>
        <v>EXCEPTION: SoD CONFLICT - ALSO HOLDS AP Invoice Entry</v>
      </c>
      <c r="T119" s="9" t="str">
        <f aca="false">IF(AND(H119="Admin",I119="Active"),IF(COUNTIFS(Recertifications!$B$2:$B$119,B119,Recertifications!$E$2:$E$119,F119,Recertifications!$K$2:$K$119,"&lt;&gt;")&gt;0,"OK - Recertified","EXCEPTION: PRIVILEGED ACCESS NEVER RECERTIFIED"),"N/A - Not Privileged")</f>
        <v>N/A - Not Privileged</v>
      </c>
      <c r="U119" s="9" t="str">
        <f aca="false">IF(OR(LEFT(M119,9)="EXCEPTION",LEFT(P119,9)="EXCEPTION",LEFT(S119,9)="EXCEPTION",LEFT(T119,9)="EXCEPTION"),"EXCEPTION","Clean")</f>
        <v>EXCEPTION</v>
      </c>
      <c r="V119" s="9" t="str">
        <f aca="false">IF(LEFT(M119,9)="EXCEPTION","Deprovisioning Control Gap",IF(LEFT(S119,9)="EXCEPTION","Segregation of Duties Conflict",IF(LEFT(P119,9)="EXCEPTION","Provisioning Approval Gap",IF(LEFT(T119,9)="EXCEPTION","Recertification Gap","N/A"))))</f>
        <v>Segregation of Duties Conflict</v>
      </c>
    </row>
    <row r="120" customFormat="false" ht="15" hidden="false" customHeight="true" outlineLevel="0" collapsed="false">
      <c r="A120" s="9" t="str">
        <f aca="false">Access_Grants!A120</f>
        <v>AG-0119</v>
      </c>
      <c r="B120" s="9" t="str">
        <f aca="false">Access_Grants!B120</f>
        <v>E036</v>
      </c>
      <c r="C120" s="9" t="str">
        <f aca="false">Access_Grants!C120</f>
        <v>Priya Schmidt</v>
      </c>
      <c r="D120" s="9" t="str">
        <f aca="false">Access_Grants!D120</f>
        <v>Procurement</v>
      </c>
      <c r="E120" s="9" t="str">
        <f aca="false">Access_Grants!E120</f>
        <v>SYS-ERP</v>
      </c>
      <c r="F120" s="9" t="str">
        <f aca="false">Access_Grants!F120</f>
        <v>R03</v>
      </c>
      <c r="G120" s="9" t="str">
        <f aca="false">Access_Grants!G120</f>
        <v>Vendor Master Maintenance</v>
      </c>
      <c r="H120" s="9" t="str">
        <f aca="false">Access_Grants!H120</f>
        <v>Write</v>
      </c>
      <c r="I120" s="9" t="str">
        <f aca="false">Access_Grants!L120</f>
        <v>Active</v>
      </c>
      <c r="J120" s="10" t="n">
        <f aca="false">Access_Grants!I120</f>
        <v>44987</v>
      </c>
      <c r="K120" s="10" t="n">
        <f aca="false">IFERROR(INDEX(HR_Employees!$F$2:$F$51,MATCH(B120,HR_Employees!$A$2:$A$51,0)),"")</f>
        <v>0</v>
      </c>
      <c r="L120" s="10" t="str">
        <f aca="false">IF(Access_Grants!M120="","",Access_Grants!M120)</f>
        <v/>
      </c>
      <c r="M120" s="9" t="str">
        <f aca="false">IF(K120="","N/A - Active Employee",IF(OR(I120="Active",AND(L120&lt;&gt;"",L120&gt;K120+5)),"EXCEPTION: TERMINATED USER - ACCESS NOT REVOKED TIMELY","OK - Revoked Within SLA"))</f>
        <v>N/A - Active Employee</v>
      </c>
      <c r="N120" s="9" t="str">
        <f aca="false">Access_Grants!J120&amp;""</f>
        <v>MGR-01</v>
      </c>
      <c r="O120" s="9" t="str">
        <f aca="false">Access_Grants!K120&amp;""</f>
        <v>CHG-91205</v>
      </c>
      <c r="P120" s="9" t="str">
        <f aca="false">IF(OR(TRIM(N120)="",TRIM(O120)=""),"EXCEPTION: NO DOCUMENTED APPROVAL","OK - Approved")</f>
        <v>OK - Approved</v>
      </c>
      <c r="Q120" s="9" t="str">
        <f aca="false">IFERROR(INDEX(SoD_Conflict_Matrix!$D$2:$D$7,MATCH(F120,SoD_Conflict_Matrix!$B$2:$B$7,0)),IFERROR(INDEX(SoD_Conflict_Matrix!$B$2:$B$7,MATCH(F120,SoD_Conflict_Matrix!$D$2:$D$7,0)),""))</f>
        <v>R02</v>
      </c>
      <c r="R120" s="9" t="str">
        <f aca="false">IFERROR(INDEX(SoD_Conflict_Matrix!$E$2:$E$7,MATCH(F120,SoD_Conflict_Matrix!$B$2:$B$7,0)),IFERROR(INDEX(SoD_Conflict_Matrix!$C$2:$C$7,MATCH(F120,SoD_Conflict_Matrix!$D$2:$D$7,0)),""))</f>
        <v>AP Payment Approval</v>
      </c>
      <c r="S120" s="9" t="str">
        <f aca="false">IF(Q120="","No Conflict Rule Applies to This Role",IF(COUNTIFS(Access_Grants!$B$2:$B$175,B120,Access_Grants!$F$2:$F$175,Q120,Access_Grants!$L$2:$L$175,"Active")&gt;0,"EXCEPTION: SoD CONFLICT - ALSO HOLDS "&amp;R120,"OK - No Conflicting Role Held"))</f>
        <v>OK - No Conflicting Role Held</v>
      </c>
      <c r="T120" s="9" t="str">
        <f aca="false">IF(AND(H120="Admin",I120="Active"),IF(COUNTIFS(Recertifications!$B$2:$B$119,B120,Recertifications!$E$2:$E$119,F120,Recertifications!$K$2:$K$119,"&lt;&gt;")&gt;0,"OK - Recertified","EXCEPTION: PRIVILEGED ACCESS NEVER RECERTIFIED"),"N/A - Not Privileged")</f>
        <v>N/A - Not Privileged</v>
      </c>
      <c r="U120" s="9" t="str">
        <f aca="false">IF(OR(LEFT(M120,9)="EXCEPTION",LEFT(P120,9)="EXCEPTION",LEFT(S120,9)="EXCEPTION",LEFT(T120,9)="EXCEPTION"),"EXCEPTION","Clean")</f>
        <v>Clean</v>
      </c>
      <c r="V120" s="9" t="str">
        <f aca="false">IF(LEFT(M120,9)="EXCEPTION","Deprovisioning Control Gap",IF(LEFT(S120,9)="EXCEPTION","Segregation of Duties Conflict",IF(LEFT(P120,9)="EXCEPTION","Provisioning Approval Gap",IF(LEFT(T120,9)="EXCEPTION","Recertification Gap","N/A"))))</f>
        <v>N/A</v>
      </c>
    </row>
    <row r="121" customFormat="false" ht="15" hidden="false" customHeight="true" outlineLevel="0" collapsed="false">
      <c r="A121" s="9" t="str">
        <f aca="false">Access_Grants!A121</f>
        <v>AG-0120</v>
      </c>
      <c r="B121" s="9" t="str">
        <f aca="false">Access_Grants!B121</f>
        <v>E036</v>
      </c>
      <c r="C121" s="9" t="str">
        <f aca="false">Access_Grants!C121</f>
        <v>Priya Schmidt</v>
      </c>
      <c r="D121" s="9" t="str">
        <f aca="false">Access_Grants!D121</f>
        <v>Procurement</v>
      </c>
      <c r="E121" s="9" t="str">
        <f aca="false">Access_Grants!E121</f>
        <v>SYS-HRIS</v>
      </c>
      <c r="F121" s="9" t="str">
        <f aca="false">Access_Grants!F121</f>
        <v>R08</v>
      </c>
      <c r="G121" s="9" t="str">
        <f aca="false">Access_Grants!G121</f>
        <v>Employee Master Read-Only</v>
      </c>
      <c r="H121" s="9" t="str">
        <f aca="false">Access_Grants!H121</f>
        <v>Read</v>
      </c>
      <c r="I121" s="9" t="str">
        <f aca="false">Access_Grants!L121</f>
        <v>Active</v>
      </c>
      <c r="J121" s="10" t="n">
        <f aca="false">Access_Grants!I121</f>
        <v>45005</v>
      </c>
      <c r="K121" s="10" t="n">
        <f aca="false">IFERROR(INDEX(HR_Employees!$F$2:$F$51,MATCH(B121,HR_Employees!$A$2:$A$51,0)),"")</f>
        <v>0</v>
      </c>
      <c r="L121" s="10" t="str">
        <f aca="false">IF(Access_Grants!M121="","",Access_Grants!M121)</f>
        <v/>
      </c>
      <c r="M121" s="9" t="str">
        <f aca="false">IF(K121="","N/A - Active Employee",IF(OR(I121="Active",AND(L121&lt;&gt;"",L121&gt;K121+5)),"EXCEPTION: TERMINATED USER - ACCESS NOT REVOKED TIMELY","OK - Revoked Within SLA"))</f>
        <v>N/A - Active Employee</v>
      </c>
      <c r="N121" s="9" t="str">
        <f aca="false">Access_Grants!J121&amp;""</f>
        <v>MGR-04</v>
      </c>
      <c r="O121" s="9" t="str">
        <f aca="false">Access_Grants!K121&amp;""</f>
        <v/>
      </c>
      <c r="P121" s="9" t="str">
        <f aca="false">IF(OR(TRIM(N121)="",TRIM(O121)=""),"EXCEPTION: NO DOCUMENTED APPROVAL","OK - Approved")</f>
        <v>EXCEPTION: NO DOCUMENTED APPROVAL</v>
      </c>
      <c r="Q121" s="9" t="str">
        <f aca="false">IFERROR(INDEX(SoD_Conflict_Matrix!$D$2:$D$7,MATCH(F121,SoD_Conflict_Matrix!$B$2:$B$7,0)),IFERROR(INDEX(SoD_Conflict_Matrix!$B$2:$B$7,MATCH(F121,SoD_Conflict_Matrix!$D$2:$D$7,0)),""))</f>
        <v/>
      </c>
      <c r="R121" s="9" t="str">
        <f aca="false">IFERROR(INDEX(SoD_Conflict_Matrix!$E$2:$E$7,MATCH(F121,SoD_Conflict_Matrix!$B$2:$B$7,0)),IFERROR(INDEX(SoD_Conflict_Matrix!$C$2:$C$7,MATCH(F121,SoD_Conflict_Matrix!$D$2:$D$7,0)),""))</f>
        <v/>
      </c>
      <c r="S121" s="9" t="str">
        <f aca="false">IF(Q121="","No Conflict Rule Applies to This Role",IF(COUNTIFS(Access_Grants!$B$2:$B$175,B121,Access_Grants!$F$2:$F$175,Q121,Access_Grants!$L$2:$L$175,"Active")&gt;0,"EXCEPTION: SoD CONFLICT - ALSO HOLDS "&amp;R121,"OK - No Conflicting Role Held"))</f>
        <v>No Conflict Rule Applies to This Role</v>
      </c>
      <c r="T121" s="9" t="str">
        <f aca="false">IF(AND(H121="Admin",I121="Active"),IF(COUNTIFS(Recertifications!$B$2:$B$119,B121,Recertifications!$E$2:$E$119,F121,Recertifications!$K$2:$K$119,"&lt;&gt;")&gt;0,"OK - Recertified","EXCEPTION: PRIVILEGED ACCESS NEVER RECERTIFIED"),"N/A - Not Privileged")</f>
        <v>N/A - Not Privileged</v>
      </c>
      <c r="U121" s="9" t="str">
        <f aca="false">IF(OR(LEFT(M121,9)="EXCEPTION",LEFT(P121,9)="EXCEPTION",LEFT(S121,9)="EXCEPTION",LEFT(T121,9)="EXCEPTION"),"EXCEPTION","Clean")</f>
        <v>EXCEPTION</v>
      </c>
      <c r="V121" s="9" t="str">
        <f aca="false">IF(LEFT(M121,9)="EXCEPTION","Deprovisioning Control Gap",IF(LEFT(S121,9)="EXCEPTION","Segregation of Duties Conflict",IF(LEFT(P121,9)="EXCEPTION","Provisioning Approval Gap",IF(LEFT(T121,9)="EXCEPTION","Recertification Gap","N/A"))))</f>
        <v>Provisioning Approval Gap</v>
      </c>
    </row>
    <row r="122" customFormat="false" ht="15" hidden="false" customHeight="true" outlineLevel="0" collapsed="false">
      <c r="A122" s="9" t="str">
        <f aca="false">Access_Grants!A122</f>
        <v>AG-0121</v>
      </c>
      <c r="B122" s="9" t="str">
        <f aca="false">Access_Grants!B122</f>
        <v>E036</v>
      </c>
      <c r="C122" s="9" t="str">
        <f aca="false">Access_Grants!C122</f>
        <v>Priya Schmidt</v>
      </c>
      <c r="D122" s="9" t="str">
        <f aca="false">Access_Grants!D122</f>
        <v>Procurement</v>
      </c>
      <c r="E122" s="9" t="str">
        <f aca="false">Access_Grants!E122</f>
        <v>SYS-AD</v>
      </c>
      <c r="F122" s="9" t="str">
        <f aca="false">Access_Grants!F122</f>
        <v>R09</v>
      </c>
      <c r="G122" s="9" t="str">
        <f aca="false">Access_Grants!G122</f>
        <v>Standard Network User</v>
      </c>
      <c r="H122" s="9" t="str">
        <f aca="false">Access_Grants!H122</f>
        <v>Read</v>
      </c>
      <c r="I122" s="9" t="str">
        <f aca="false">Access_Grants!L122</f>
        <v>Revoked</v>
      </c>
      <c r="J122" s="10" t="n">
        <f aca="false">Access_Grants!I122</f>
        <v>44965</v>
      </c>
      <c r="K122" s="10" t="n">
        <f aca="false">IFERROR(INDEX(HR_Employees!$F$2:$F$51,MATCH(B122,HR_Employees!$A$2:$A$51,0)),"")</f>
        <v>0</v>
      </c>
      <c r="L122" s="10" t="n">
        <f aca="false">IF(Access_Grants!M122="","",Access_Grants!M122)</f>
        <v>45973</v>
      </c>
      <c r="M122" s="9" t="str">
        <f aca="false">IF(K122="","N/A - Active Employee",IF(OR(I122="Active",AND(L122&lt;&gt;"",L122&gt;K122+5)),"EXCEPTION: TERMINATED USER - ACCESS NOT REVOKED TIMELY","OK - Revoked Within SLA"))</f>
        <v>N/A - Active Employee</v>
      </c>
      <c r="N122" s="9" t="str">
        <f aca="false">Access_Grants!J122&amp;""</f>
        <v/>
      </c>
      <c r="O122" s="9" t="str">
        <f aca="false">Access_Grants!K122&amp;""</f>
        <v>CHG-63516</v>
      </c>
      <c r="P122" s="9" t="str">
        <f aca="false">IF(OR(TRIM(N122)="",TRIM(O122)=""),"EXCEPTION: NO DOCUMENTED APPROVAL","OK - Approved")</f>
        <v>EXCEPTION: NO DOCUMENTED APPROVAL</v>
      </c>
      <c r="Q122" s="9" t="str">
        <f aca="false">IFERROR(INDEX(SoD_Conflict_Matrix!$D$2:$D$7,MATCH(F122,SoD_Conflict_Matrix!$B$2:$B$7,0)),IFERROR(INDEX(SoD_Conflict_Matrix!$B$2:$B$7,MATCH(F122,SoD_Conflict_Matrix!$D$2:$D$7,0)),""))</f>
        <v/>
      </c>
      <c r="R122" s="9" t="str">
        <f aca="false">IFERROR(INDEX(SoD_Conflict_Matrix!$E$2:$E$7,MATCH(F122,SoD_Conflict_Matrix!$B$2:$B$7,0)),IFERROR(INDEX(SoD_Conflict_Matrix!$C$2:$C$7,MATCH(F122,SoD_Conflict_Matrix!$D$2:$D$7,0)),""))</f>
        <v/>
      </c>
      <c r="S122" s="9" t="str">
        <f aca="false">IF(Q122="","No Conflict Rule Applies to This Role",IF(COUNTIFS(Access_Grants!$B$2:$B$175,B122,Access_Grants!$F$2:$F$175,Q122,Access_Grants!$L$2:$L$175,"Active")&gt;0,"EXCEPTION: SoD CONFLICT - ALSO HOLDS "&amp;R122,"OK - No Conflicting Role Held"))</f>
        <v>No Conflict Rule Applies to This Role</v>
      </c>
      <c r="T122" s="9" t="str">
        <f aca="false">IF(AND(H122="Admin",I122="Active"),IF(COUNTIFS(Recertifications!$B$2:$B$119,B122,Recertifications!$E$2:$E$119,F122,Recertifications!$K$2:$K$119,"&lt;&gt;")&gt;0,"OK - Recertified","EXCEPTION: PRIVILEGED ACCESS NEVER RECERTIFIED"),"N/A - Not Privileged")</f>
        <v>N/A - Not Privileged</v>
      </c>
      <c r="U122" s="9" t="str">
        <f aca="false">IF(OR(LEFT(M122,9)="EXCEPTION",LEFT(P122,9)="EXCEPTION",LEFT(S122,9)="EXCEPTION",LEFT(T122,9)="EXCEPTION"),"EXCEPTION","Clean")</f>
        <v>EXCEPTION</v>
      </c>
      <c r="V122" s="9" t="str">
        <f aca="false">IF(LEFT(M122,9)="EXCEPTION","Deprovisioning Control Gap",IF(LEFT(S122,9)="EXCEPTION","Segregation of Duties Conflict",IF(LEFT(P122,9)="EXCEPTION","Provisioning Approval Gap",IF(LEFT(T122,9)="EXCEPTION","Recertification Gap","N/A"))))</f>
        <v>Provisioning Approval Gap</v>
      </c>
    </row>
    <row r="123" customFormat="false" ht="15" hidden="false" customHeight="true" outlineLevel="0" collapsed="false">
      <c r="A123" s="9" t="str">
        <f aca="false">Access_Grants!A123</f>
        <v>AG-0122</v>
      </c>
      <c r="B123" s="9" t="str">
        <f aca="false">Access_Grants!B123</f>
        <v>E036</v>
      </c>
      <c r="C123" s="9" t="str">
        <f aca="false">Access_Grants!C123</f>
        <v>Priya Schmidt</v>
      </c>
      <c r="D123" s="9" t="str">
        <f aca="false">Access_Grants!D123</f>
        <v>Procurement</v>
      </c>
      <c r="E123" s="9" t="str">
        <f aca="false">Access_Grants!E123</f>
        <v>SYS-ERP</v>
      </c>
      <c r="F123" s="9" t="str">
        <f aca="false">Access_Grants!F123</f>
        <v>R01</v>
      </c>
      <c r="G123" s="9" t="str">
        <f aca="false">Access_Grants!G123</f>
        <v>AP Invoice Entry</v>
      </c>
      <c r="H123" s="9" t="str">
        <f aca="false">Access_Grants!H123</f>
        <v>Write</v>
      </c>
      <c r="I123" s="9" t="str">
        <f aca="false">Access_Grants!L123</f>
        <v>Active</v>
      </c>
      <c r="J123" s="10" t="n">
        <f aca="false">Access_Grants!I123</f>
        <v>44941</v>
      </c>
      <c r="K123" s="10" t="n">
        <f aca="false">IFERROR(INDEX(HR_Employees!$F$2:$F$51,MATCH(B123,HR_Employees!$A$2:$A$51,0)),"")</f>
        <v>0</v>
      </c>
      <c r="L123" s="10" t="str">
        <f aca="false">IF(Access_Grants!M123="","",Access_Grants!M123)</f>
        <v/>
      </c>
      <c r="M123" s="9" t="str">
        <f aca="false">IF(K123="","N/A - Active Employee",IF(OR(I123="Active",AND(L123&lt;&gt;"",L123&gt;K123+5)),"EXCEPTION: TERMINATED USER - ACCESS NOT REVOKED TIMELY","OK - Revoked Within SLA"))</f>
        <v>N/A - Active Employee</v>
      </c>
      <c r="N123" s="9" t="str">
        <f aca="false">Access_Grants!J123&amp;""</f>
        <v>MGR-02</v>
      </c>
      <c r="O123" s="9" t="str">
        <f aca="false">Access_Grants!K123&amp;""</f>
        <v>CHG-40775</v>
      </c>
      <c r="P123" s="9" t="str">
        <f aca="false">IF(OR(TRIM(N123)="",TRIM(O123)=""),"EXCEPTION: NO DOCUMENTED APPROVAL","OK - Approved")</f>
        <v>OK - Approved</v>
      </c>
      <c r="Q123" s="9" t="str">
        <f aca="false">IFERROR(INDEX(SoD_Conflict_Matrix!$D$2:$D$7,MATCH(F123,SoD_Conflict_Matrix!$B$2:$B$7,0)),IFERROR(INDEX(SoD_Conflict_Matrix!$B$2:$B$7,MATCH(F123,SoD_Conflict_Matrix!$D$2:$D$7,0)),""))</f>
        <v>R02</v>
      </c>
      <c r="R123" s="9" t="str">
        <f aca="false">IFERROR(INDEX(SoD_Conflict_Matrix!$E$2:$E$7,MATCH(F123,SoD_Conflict_Matrix!$B$2:$B$7,0)),IFERROR(INDEX(SoD_Conflict_Matrix!$C$2:$C$7,MATCH(F123,SoD_Conflict_Matrix!$D$2:$D$7,0)),""))</f>
        <v>AP Payment Approval</v>
      </c>
      <c r="S123" s="9" t="str">
        <f aca="false">IF(Q123="","No Conflict Rule Applies to This Role",IF(COUNTIFS(Access_Grants!$B$2:$B$175,B123,Access_Grants!$F$2:$F$175,Q123,Access_Grants!$L$2:$L$175,"Active")&gt;0,"EXCEPTION: SoD CONFLICT - ALSO HOLDS "&amp;R123,"OK - No Conflicting Role Held"))</f>
        <v>OK - No Conflicting Role Held</v>
      </c>
      <c r="T123" s="9" t="str">
        <f aca="false">IF(AND(H123="Admin",I123="Active"),IF(COUNTIFS(Recertifications!$B$2:$B$119,B123,Recertifications!$E$2:$E$119,F123,Recertifications!$K$2:$K$119,"&lt;&gt;")&gt;0,"OK - Recertified","EXCEPTION: PRIVILEGED ACCESS NEVER RECERTIFIED"),"N/A - Not Privileged")</f>
        <v>N/A - Not Privileged</v>
      </c>
      <c r="U123" s="9" t="str">
        <f aca="false">IF(OR(LEFT(M123,9)="EXCEPTION",LEFT(P123,9)="EXCEPTION",LEFT(S123,9)="EXCEPTION",LEFT(T123,9)="EXCEPTION"),"EXCEPTION","Clean")</f>
        <v>Clean</v>
      </c>
      <c r="V123" s="9" t="str">
        <f aca="false">IF(LEFT(M123,9)="EXCEPTION","Deprovisioning Control Gap",IF(LEFT(S123,9)="EXCEPTION","Segregation of Duties Conflict",IF(LEFT(P123,9)="EXCEPTION","Provisioning Approval Gap",IF(LEFT(T123,9)="EXCEPTION","Recertification Gap","N/A"))))</f>
        <v>N/A</v>
      </c>
    </row>
    <row r="124" customFormat="false" ht="15" hidden="false" customHeight="true" outlineLevel="0" collapsed="false">
      <c r="A124" s="9" t="str">
        <f aca="false">Access_Grants!A124</f>
        <v>AG-0123</v>
      </c>
      <c r="B124" s="9" t="str">
        <f aca="false">Access_Grants!B124</f>
        <v>E037</v>
      </c>
      <c r="C124" s="9" t="str">
        <f aca="false">Access_Grants!C124</f>
        <v>Sanjay Dubois</v>
      </c>
      <c r="D124" s="9" t="str">
        <f aca="false">Access_Grants!D124</f>
        <v>Customer Service</v>
      </c>
      <c r="E124" s="9" t="str">
        <f aca="false">Access_Grants!E124</f>
        <v>SYS-CRM</v>
      </c>
      <c r="F124" s="9" t="str">
        <f aca="false">Access_Grants!F124</f>
        <v>R11</v>
      </c>
      <c r="G124" s="9" t="str">
        <f aca="false">Access_Grants!G124</f>
        <v>Sales Order Entry</v>
      </c>
      <c r="H124" s="9" t="str">
        <f aca="false">Access_Grants!H124</f>
        <v>Write</v>
      </c>
      <c r="I124" s="9" t="str">
        <f aca="false">Access_Grants!L124</f>
        <v>Active</v>
      </c>
      <c r="J124" s="10" t="n">
        <f aca="false">Access_Grants!I124</f>
        <v>45597</v>
      </c>
      <c r="K124" s="10" t="n">
        <f aca="false">IFERROR(INDEX(HR_Employees!$F$2:$F$51,MATCH(B124,HR_Employees!$A$2:$A$51,0)),"")</f>
        <v>0</v>
      </c>
      <c r="L124" s="10" t="str">
        <f aca="false">IF(Access_Grants!M124="","",Access_Grants!M124)</f>
        <v/>
      </c>
      <c r="M124" s="9" t="str">
        <f aca="false">IF(K124="","N/A - Active Employee",IF(OR(I124="Active",AND(L124&lt;&gt;"",L124&gt;K124+5)),"EXCEPTION: TERMINATED USER - ACCESS NOT REVOKED TIMELY","OK - Revoked Within SLA"))</f>
        <v>N/A - Active Employee</v>
      </c>
      <c r="N124" s="9" t="str">
        <f aca="false">Access_Grants!J124&amp;""</f>
        <v>MGR-02</v>
      </c>
      <c r="O124" s="9" t="str">
        <f aca="false">Access_Grants!K124&amp;""</f>
        <v>CHG-74139</v>
      </c>
      <c r="P124" s="9" t="str">
        <f aca="false">IF(OR(TRIM(N124)="",TRIM(O124)=""),"EXCEPTION: NO DOCUMENTED APPROVAL","OK - Approved")</f>
        <v>OK - Approved</v>
      </c>
      <c r="Q124" s="9" t="str">
        <f aca="false">IFERROR(INDEX(SoD_Conflict_Matrix!$D$2:$D$7,MATCH(F124,SoD_Conflict_Matrix!$B$2:$B$7,0)),IFERROR(INDEX(SoD_Conflict_Matrix!$B$2:$B$7,MATCH(F124,SoD_Conflict_Matrix!$D$2:$D$7,0)),""))</f>
        <v>R12</v>
      </c>
      <c r="R124" s="9" t="str">
        <f aca="false">IFERROR(INDEX(SoD_Conflict_Matrix!$E$2:$E$7,MATCH(F124,SoD_Conflict_Matrix!$B$2:$B$7,0)),IFERROR(INDEX(SoD_Conflict_Matrix!$C$2:$C$7,MATCH(F124,SoD_Conflict_Matrix!$D$2:$D$7,0)),""))</f>
        <v>Sales Credit Memo Approval</v>
      </c>
      <c r="S124" s="9" t="str">
        <f aca="false">IF(Q124="","No Conflict Rule Applies to This Role",IF(COUNTIFS(Access_Grants!$B$2:$B$175,B124,Access_Grants!$F$2:$F$175,Q124,Access_Grants!$L$2:$L$175,"Active")&gt;0,"EXCEPTION: SoD CONFLICT - ALSO HOLDS "&amp;R124,"OK - No Conflicting Role Held"))</f>
        <v>OK - No Conflicting Role Held</v>
      </c>
      <c r="T124" s="9" t="str">
        <f aca="false">IF(AND(H124="Admin",I124="Active"),IF(COUNTIFS(Recertifications!$B$2:$B$119,B124,Recertifications!$E$2:$E$119,F124,Recertifications!$K$2:$K$119,"&lt;&gt;")&gt;0,"OK - Recertified","EXCEPTION: PRIVILEGED ACCESS NEVER RECERTIFIED"),"N/A - Not Privileged")</f>
        <v>N/A - Not Privileged</v>
      </c>
      <c r="U124" s="9" t="str">
        <f aca="false">IF(OR(LEFT(M124,9)="EXCEPTION",LEFT(P124,9)="EXCEPTION",LEFT(S124,9)="EXCEPTION",LEFT(T124,9)="EXCEPTION"),"EXCEPTION","Clean")</f>
        <v>Clean</v>
      </c>
      <c r="V124" s="9" t="str">
        <f aca="false">IF(LEFT(M124,9)="EXCEPTION","Deprovisioning Control Gap",IF(LEFT(S124,9)="EXCEPTION","Segregation of Duties Conflict",IF(LEFT(P124,9)="EXCEPTION","Provisioning Approval Gap",IF(LEFT(T124,9)="EXCEPTION","Recertification Gap","N/A"))))</f>
        <v>N/A</v>
      </c>
    </row>
    <row r="125" customFormat="false" ht="15" hidden="false" customHeight="true" outlineLevel="0" collapsed="false">
      <c r="A125" s="9" t="str">
        <f aca="false">Access_Grants!A125</f>
        <v>AG-0124</v>
      </c>
      <c r="B125" s="9" t="str">
        <f aca="false">Access_Grants!B125</f>
        <v>E037</v>
      </c>
      <c r="C125" s="9" t="str">
        <f aca="false">Access_Grants!C125</f>
        <v>Sanjay Dubois</v>
      </c>
      <c r="D125" s="9" t="str">
        <f aca="false">Access_Grants!D125</f>
        <v>Customer Service</v>
      </c>
      <c r="E125" s="9" t="str">
        <f aca="false">Access_Grants!E125</f>
        <v>SYS-HRIS</v>
      </c>
      <c r="F125" s="9" t="str">
        <f aca="false">Access_Grants!F125</f>
        <v>R08</v>
      </c>
      <c r="G125" s="9" t="str">
        <f aca="false">Access_Grants!G125</f>
        <v>Employee Master Read-Only</v>
      </c>
      <c r="H125" s="9" t="str">
        <f aca="false">Access_Grants!H125</f>
        <v>Read</v>
      </c>
      <c r="I125" s="9" t="str">
        <f aca="false">Access_Grants!L125</f>
        <v>Active</v>
      </c>
      <c r="J125" s="10" t="n">
        <f aca="false">Access_Grants!I125</f>
        <v>45213</v>
      </c>
      <c r="K125" s="10" t="n">
        <f aca="false">IFERROR(INDEX(HR_Employees!$F$2:$F$51,MATCH(B125,HR_Employees!$A$2:$A$51,0)),"")</f>
        <v>0</v>
      </c>
      <c r="L125" s="10" t="str">
        <f aca="false">IF(Access_Grants!M125="","",Access_Grants!M125)</f>
        <v/>
      </c>
      <c r="M125" s="9" t="str">
        <f aca="false">IF(K125="","N/A - Active Employee",IF(OR(I125="Active",AND(L125&lt;&gt;"",L125&gt;K125+5)),"EXCEPTION: TERMINATED USER - ACCESS NOT REVOKED TIMELY","OK - Revoked Within SLA"))</f>
        <v>N/A - Active Employee</v>
      </c>
      <c r="N125" s="9" t="str">
        <f aca="false">Access_Grants!J125&amp;""</f>
        <v>MGR-01</v>
      </c>
      <c r="O125" s="9" t="str">
        <f aca="false">Access_Grants!K125&amp;""</f>
        <v>CHG-58566</v>
      </c>
      <c r="P125" s="9" t="str">
        <f aca="false">IF(OR(TRIM(N125)="",TRIM(O125)=""),"EXCEPTION: NO DOCUMENTED APPROVAL","OK - Approved")</f>
        <v>OK - Approved</v>
      </c>
      <c r="Q125" s="9" t="str">
        <f aca="false">IFERROR(INDEX(SoD_Conflict_Matrix!$D$2:$D$7,MATCH(F125,SoD_Conflict_Matrix!$B$2:$B$7,0)),IFERROR(INDEX(SoD_Conflict_Matrix!$B$2:$B$7,MATCH(F125,SoD_Conflict_Matrix!$D$2:$D$7,0)),""))</f>
        <v/>
      </c>
      <c r="R125" s="9" t="str">
        <f aca="false">IFERROR(INDEX(SoD_Conflict_Matrix!$E$2:$E$7,MATCH(F125,SoD_Conflict_Matrix!$B$2:$B$7,0)),IFERROR(INDEX(SoD_Conflict_Matrix!$C$2:$C$7,MATCH(F125,SoD_Conflict_Matrix!$D$2:$D$7,0)),""))</f>
        <v/>
      </c>
      <c r="S125" s="9" t="str">
        <f aca="false">IF(Q125="","No Conflict Rule Applies to This Role",IF(COUNTIFS(Access_Grants!$B$2:$B$175,B125,Access_Grants!$F$2:$F$175,Q125,Access_Grants!$L$2:$L$175,"Active")&gt;0,"EXCEPTION: SoD CONFLICT - ALSO HOLDS "&amp;R125,"OK - No Conflicting Role Held"))</f>
        <v>No Conflict Rule Applies to This Role</v>
      </c>
      <c r="T125" s="9" t="str">
        <f aca="false">IF(AND(H125="Admin",I125="Active"),IF(COUNTIFS(Recertifications!$B$2:$B$119,B125,Recertifications!$E$2:$E$119,F125,Recertifications!$K$2:$K$119,"&lt;&gt;")&gt;0,"OK - Recertified","EXCEPTION: PRIVILEGED ACCESS NEVER RECERTIFIED"),"N/A - Not Privileged")</f>
        <v>N/A - Not Privileged</v>
      </c>
      <c r="U125" s="9" t="str">
        <f aca="false">IF(OR(LEFT(M125,9)="EXCEPTION",LEFT(P125,9)="EXCEPTION",LEFT(S125,9)="EXCEPTION",LEFT(T125,9)="EXCEPTION"),"EXCEPTION","Clean")</f>
        <v>Clean</v>
      </c>
      <c r="V125" s="9" t="str">
        <f aca="false">IF(LEFT(M125,9)="EXCEPTION","Deprovisioning Control Gap",IF(LEFT(S125,9)="EXCEPTION","Segregation of Duties Conflict",IF(LEFT(P125,9)="EXCEPTION","Provisioning Approval Gap",IF(LEFT(T125,9)="EXCEPTION","Recertification Gap","N/A"))))</f>
        <v>N/A</v>
      </c>
    </row>
    <row r="126" customFormat="false" ht="15" hidden="false" customHeight="true" outlineLevel="0" collapsed="false">
      <c r="A126" s="9" t="str">
        <f aca="false">Access_Grants!A126</f>
        <v>AG-0125</v>
      </c>
      <c r="B126" s="9" t="str">
        <f aca="false">Access_Grants!B126</f>
        <v>E037</v>
      </c>
      <c r="C126" s="9" t="str">
        <f aca="false">Access_Grants!C126</f>
        <v>Sanjay Dubois</v>
      </c>
      <c r="D126" s="9" t="str">
        <f aca="false">Access_Grants!D126</f>
        <v>Customer Service</v>
      </c>
      <c r="E126" s="9" t="str">
        <f aca="false">Access_Grants!E126</f>
        <v>SYS-AD</v>
      </c>
      <c r="F126" s="9" t="str">
        <f aca="false">Access_Grants!F126</f>
        <v>R09</v>
      </c>
      <c r="G126" s="9" t="str">
        <f aca="false">Access_Grants!G126</f>
        <v>Standard Network User</v>
      </c>
      <c r="H126" s="9" t="str">
        <f aca="false">Access_Grants!H126</f>
        <v>Read</v>
      </c>
      <c r="I126" s="9" t="str">
        <f aca="false">Access_Grants!L126</f>
        <v>Active</v>
      </c>
      <c r="J126" s="10" t="n">
        <f aca="false">Access_Grants!I126</f>
        <v>45168</v>
      </c>
      <c r="K126" s="10" t="n">
        <f aca="false">IFERROR(INDEX(HR_Employees!$F$2:$F$51,MATCH(B126,HR_Employees!$A$2:$A$51,0)),"")</f>
        <v>0</v>
      </c>
      <c r="L126" s="10" t="str">
        <f aca="false">IF(Access_Grants!M126="","",Access_Grants!M126)</f>
        <v/>
      </c>
      <c r="M126" s="9" t="str">
        <f aca="false">IF(K126="","N/A - Active Employee",IF(OR(I126="Active",AND(L126&lt;&gt;"",L126&gt;K126+5)),"EXCEPTION: TERMINATED USER - ACCESS NOT REVOKED TIMELY","OK - Revoked Within SLA"))</f>
        <v>N/A - Active Employee</v>
      </c>
      <c r="N126" s="9" t="str">
        <f aca="false">Access_Grants!J126&amp;""</f>
        <v>MGR-06</v>
      </c>
      <c r="O126" s="9" t="str">
        <f aca="false">Access_Grants!K126&amp;""</f>
        <v>CHG-23022</v>
      </c>
      <c r="P126" s="9" t="str">
        <f aca="false">IF(OR(TRIM(N126)="",TRIM(O126)=""),"EXCEPTION: NO DOCUMENTED APPROVAL","OK - Approved")</f>
        <v>OK - Approved</v>
      </c>
      <c r="Q126" s="9" t="str">
        <f aca="false">IFERROR(INDEX(SoD_Conflict_Matrix!$D$2:$D$7,MATCH(F126,SoD_Conflict_Matrix!$B$2:$B$7,0)),IFERROR(INDEX(SoD_Conflict_Matrix!$B$2:$B$7,MATCH(F126,SoD_Conflict_Matrix!$D$2:$D$7,0)),""))</f>
        <v/>
      </c>
      <c r="R126" s="9" t="str">
        <f aca="false">IFERROR(INDEX(SoD_Conflict_Matrix!$E$2:$E$7,MATCH(F126,SoD_Conflict_Matrix!$B$2:$B$7,0)),IFERROR(INDEX(SoD_Conflict_Matrix!$C$2:$C$7,MATCH(F126,SoD_Conflict_Matrix!$D$2:$D$7,0)),""))</f>
        <v/>
      </c>
      <c r="S126" s="9" t="str">
        <f aca="false">IF(Q126="","No Conflict Rule Applies to This Role",IF(COUNTIFS(Access_Grants!$B$2:$B$175,B126,Access_Grants!$F$2:$F$175,Q126,Access_Grants!$L$2:$L$175,"Active")&gt;0,"EXCEPTION: SoD CONFLICT - ALSO HOLDS "&amp;R126,"OK - No Conflicting Role Held"))</f>
        <v>No Conflict Rule Applies to This Role</v>
      </c>
      <c r="T126" s="9" t="str">
        <f aca="false">IF(AND(H126="Admin",I126="Active"),IF(COUNTIFS(Recertifications!$B$2:$B$119,B126,Recertifications!$E$2:$E$119,F126,Recertifications!$K$2:$K$119,"&lt;&gt;")&gt;0,"OK - Recertified","EXCEPTION: PRIVILEGED ACCESS NEVER RECERTIFIED"),"N/A - Not Privileged")</f>
        <v>N/A - Not Privileged</v>
      </c>
      <c r="U126" s="9" t="str">
        <f aca="false">IF(OR(LEFT(M126,9)="EXCEPTION",LEFT(P126,9)="EXCEPTION",LEFT(S126,9)="EXCEPTION",LEFT(T126,9)="EXCEPTION"),"EXCEPTION","Clean")</f>
        <v>Clean</v>
      </c>
      <c r="V126" s="9" t="str">
        <f aca="false">IF(LEFT(M126,9)="EXCEPTION","Deprovisioning Control Gap",IF(LEFT(S126,9)="EXCEPTION","Segregation of Duties Conflict",IF(LEFT(P126,9)="EXCEPTION","Provisioning Approval Gap",IF(LEFT(T126,9)="EXCEPTION","Recertification Gap","N/A"))))</f>
        <v>N/A</v>
      </c>
    </row>
    <row r="127" customFormat="false" ht="15" hidden="false" customHeight="true" outlineLevel="0" collapsed="false">
      <c r="A127" s="9" t="str">
        <f aca="false">Access_Grants!A127</f>
        <v>AG-0126</v>
      </c>
      <c r="B127" s="9" t="str">
        <f aca="false">Access_Grants!B127</f>
        <v>E038</v>
      </c>
      <c r="C127" s="9" t="str">
        <f aca="false">Access_Grants!C127</f>
        <v>Victor Chen</v>
      </c>
      <c r="D127" s="9" t="str">
        <f aca="false">Access_Grants!D127</f>
        <v>HR</v>
      </c>
      <c r="E127" s="9" t="str">
        <f aca="false">Access_Grants!E127</f>
        <v>SYS-HRIS</v>
      </c>
      <c r="F127" s="9" t="str">
        <f aca="false">Access_Grants!F127</f>
        <v>R07</v>
      </c>
      <c r="G127" s="9" t="str">
        <f aca="false">Access_Grants!G127</f>
        <v>Payroll Approval / Release</v>
      </c>
      <c r="H127" s="9" t="str">
        <f aca="false">Access_Grants!H127</f>
        <v>Admin</v>
      </c>
      <c r="I127" s="9" t="str">
        <f aca="false">Access_Grants!L127</f>
        <v>Active</v>
      </c>
      <c r="J127" s="10" t="n">
        <f aca="false">Access_Grants!I127</f>
        <v>45858</v>
      </c>
      <c r="K127" s="10" t="n">
        <f aca="false">IFERROR(INDEX(HR_Employees!$F$2:$F$51,MATCH(B127,HR_Employees!$A$2:$A$51,0)),"")</f>
        <v>0</v>
      </c>
      <c r="L127" s="10" t="str">
        <f aca="false">IF(Access_Grants!M127="","",Access_Grants!M127)</f>
        <v/>
      </c>
      <c r="M127" s="9" t="str">
        <f aca="false">IF(K127="","N/A - Active Employee",IF(OR(I127="Active",AND(L127&lt;&gt;"",L127&gt;K127+5)),"EXCEPTION: TERMINATED USER - ACCESS NOT REVOKED TIMELY","OK - Revoked Within SLA"))</f>
        <v>N/A - Active Employee</v>
      </c>
      <c r="N127" s="9" t="str">
        <f aca="false">Access_Grants!J127&amp;""</f>
        <v>MGR-02</v>
      </c>
      <c r="O127" s="9" t="str">
        <f aca="false">Access_Grants!K127&amp;""</f>
        <v>CHG-96870</v>
      </c>
      <c r="P127" s="9" t="str">
        <f aca="false">IF(OR(TRIM(N127)="",TRIM(O127)=""),"EXCEPTION: NO DOCUMENTED APPROVAL","OK - Approved")</f>
        <v>OK - Approved</v>
      </c>
      <c r="Q127" s="9" t="str">
        <f aca="false">IFERROR(INDEX(SoD_Conflict_Matrix!$D$2:$D$7,MATCH(F127,SoD_Conflict_Matrix!$B$2:$B$7,0)),IFERROR(INDEX(SoD_Conflict_Matrix!$B$2:$B$7,MATCH(F127,SoD_Conflict_Matrix!$D$2:$D$7,0)),""))</f>
        <v>R06</v>
      </c>
      <c r="R127" s="9" t="str">
        <f aca="false">IFERROR(INDEX(SoD_Conflict_Matrix!$E$2:$E$7,MATCH(F127,SoD_Conflict_Matrix!$B$2:$B$7,0)),IFERROR(INDEX(SoD_Conflict_Matrix!$C$2:$C$7,MATCH(F127,SoD_Conflict_Matrix!$D$2:$D$7,0)),""))</f>
        <v>Payroll Data Entry</v>
      </c>
      <c r="S127" s="9" t="str">
        <f aca="false">IF(Q127="","No Conflict Rule Applies to This Role",IF(COUNTIFS(Access_Grants!$B$2:$B$175,B127,Access_Grants!$F$2:$F$175,Q127,Access_Grants!$L$2:$L$175,"Active")&gt;0,"EXCEPTION: SoD CONFLICT - ALSO HOLDS "&amp;R127,"OK - No Conflicting Role Held"))</f>
        <v>EXCEPTION: SoD CONFLICT - ALSO HOLDS Payroll Data Entry</v>
      </c>
      <c r="T127" s="9" t="str">
        <f aca="false">IF(AND(H127="Admin",I127="Active"),IF(COUNTIFS(Recertifications!$B$2:$B$119,B127,Recertifications!$E$2:$E$119,F127,Recertifications!$K$2:$K$119,"&lt;&gt;")&gt;0,"OK - Recertified","EXCEPTION: PRIVILEGED ACCESS NEVER RECERTIFIED"),"N/A - Not Privileged")</f>
        <v>EXCEPTION: PRIVILEGED ACCESS NEVER RECERTIFIED</v>
      </c>
      <c r="U127" s="9" t="str">
        <f aca="false">IF(OR(LEFT(M127,9)="EXCEPTION",LEFT(P127,9)="EXCEPTION",LEFT(S127,9)="EXCEPTION",LEFT(T127,9)="EXCEPTION"),"EXCEPTION","Clean")</f>
        <v>EXCEPTION</v>
      </c>
      <c r="V127" s="9" t="str">
        <f aca="false">IF(LEFT(M127,9)="EXCEPTION","Deprovisioning Control Gap",IF(LEFT(S127,9)="EXCEPTION","Segregation of Duties Conflict",IF(LEFT(P127,9)="EXCEPTION","Provisioning Approval Gap",IF(LEFT(T127,9)="EXCEPTION","Recertification Gap","N/A"))))</f>
        <v>Segregation of Duties Conflict</v>
      </c>
    </row>
    <row r="128" customFormat="false" ht="15" hidden="false" customHeight="true" outlineLevel="0" collapsed="false">
      <c r="A128" s="9" t="str">
        <f aca="false">Access_Grants!A128</f>
        <v>AG-0127</v>
      </c>
      <c r="B128" s="9" t="str">
        <f aca="false">Access_Grants!B128</f>
        <v>E038</v>
      </c>
      <c r="C128" s="9" t="str">
        <f aca="false">Access_Grants!C128</f>
        <v>Victor Chen</v>
      </c>
      <c r="D128" s="9" t="str">
        <f aca="false">Access_Grants!D128</f>
        <v>HR</v>
      </c>
      <c r="E128" s="9" t="str">
        <f aca="false">Access_Grants!E128</f>
        <v>SYS-HRIS</v>
      </c>
      <c r="F128" s="9" t="str">
        <f aca="false">Access_Grants!F128</f>
        <v>R06</v>
      </c>
      <c r="G128" s="9" t="str">
        <f aca="false">Access_Grants!G128</f>
        <v>Payroll Data Entry</v>
      </c>
      <c r="H128" s="9" t="str">
        <f aca="false">Access_Grants!H128</f>
        <v>Write</v>
      </c>
      <c r="I128" s="9" t="str">
        <f aca="false">Access_Grants!L128</f>
        <v>Active</v>
      </c>
      <c r="J128" s="10" t="n">
        <f aca="false">Access_Grants!I128</f>
        <v>44970</v>
      </c>
      <c r="K128" s="10" t="n">
        <f aca="false">IFERROR(INDEX(HR_Employees!$F$2:$F$51,MATCH(B128,HR_Employees!$A$2:$A$51,0)),"")</f>
        <v>0</v>
      </c>
      <c r="L128" s="10" t="str">
        <f aca="false">IF(Access_Grants!M128="","",Access_Grants!M128)</f>
        <v/>
      </c>
      <c r="M128" s="9" t="str">
        <f aca="false">IF(K128="","N/A - Active Employee",IF(OR(I128="Active",AND(L128&lt;&gt;"",L128&gt;K128+5)),"EXCEPTION: TERMINATED USER - ACCESS NOT REVOKED TIMELY","OK - Revoked Within SLA"))</f>
        <v>N/A - Active Employee</v>
      </c>
      <c r="N128" s="9" t="str">
        <f aca="false">Access_Grants!J128&amp;""</f>
        <v>MGR-01</v>
      </c>
      <c r="O128" s="9" t="str">
        <f aca="false">Access_Grants!K128&amp;""</f>
        <v>CHG-53713</v>
      </c>
      <c r="P128" s="9" t="str">
        <f aca="false">IF(OR(TRIM(N128)="",TRIM(O128)=""),"EXCEPTION: NO DOCUMENTED APPROVAL","OK - Approved")</f>
        <v>OK - Approved</v>
      </c>
      <c r="Q128" s="9" t="str">
        <f aca="false">IFERROR(INDEX(SoD_Conflict_Matrix!$D$2:$D$7,MATCH(F128,SoD_Conflict_Matrix!$B$2:$B$7,0)),IFERROR(INDEX(SoD_Conflict_Matrix!$B$2:$B$7,MATCH(F128,SoD_Conflict_Matrix!$D$2:$D$7,0)),""))</f>
        <v>R07</v>
      </c>
      <c r="R128" s="9" t="str">
        <f aca="false">IFERROR(INDEX(SoD_Conflict_Matrix!$E$2:$E$7,MATCH(F128,SoD_Conflict_Matrix!$B$2:$B$7,0)),IFERROR(INDEX(SoD_Conflict_Matrix!$C$2:$C$7,MATCH(F128,SoD_Conflict_Matrix!$D$2:$D$7,0)),""))</f>
        <v>Payroll Approval / Release</v>
      </c>
      <c r="S128" s="9" t="str">
        <f aca="false">IF(Q128="","No Conflict Rule Applies to This Role",IF(COUNTIFS(Access_Grants!$B$2:$B$175,B128,Access_Grants!$F$2:$F$175,Q128,Access_Grants!$L$2:$L$175,"Active")&gt;0,"EXCEPTION: SoD CONFLICT - ALSO HOLDS "&amp;R128,"OK - No Conflicting Role Held"))</f>
        <v>EXCEPTION: SoD CONFLICT - ALSO HOLDS Payroll Approval / Release</v>
      </c>
      <c r="T128" s="9" t="str">
        <f aca="false">IF(AND(H128="Admin",I128="Active"),IF(COUNTIFS(Recertifications!$B$2:$B$119,B128,Recertifications!$E$2:$E$119,F128,Recertifications!$K$2:$K$119,"&lt;&gt;")&gt;0,"OK - Recertified","EXCEPTION: PRIVILEGED ACCESS NEVER RECERTIFIED"),"N/A - Not Privileged")</f>
        <v>N/A - Not Privileged</v>
      </c>
      <c r="U128" s="9" t="str">
        <f aca="false">IF(OR(LEFT(M128,9)="EXCEPTION",LEFT(P128,9)="EXCEPTION",LEFT(S128,9)="EXCEPTION",LEFT(T128,9)="EXCEPTION"),"EXCEPTION","Clean")</f>
        <v>EXCEPTION</v>
      </c>
      <c r="V128" s="9" t="str">
        <f aca="false">IF(LEFT(M128,9)="EXCEPTION","Deprovisioning Control Gap",IF(LEFT(S128,9)="EXCEPTION","Segregation of Duties Conflict",IF(LEFT(P128,9)="EXCEPTION","Provisioning Approval Gap",IF(LEFT(T128,9)="EXCEPTION","Recertification Gap","N/A"))))</f>
        <v>Segregation of Duties Conflict</v>
      </c>
    </row>
    <row r="129" customFormat="false" ht="15" hidden="false" customHeight="true" outlineLevel="0" collapsed="false">
      <c r="A129" s="9" t="str">
        <f aca="false">Access_Grants!A129</f>
        <v>AG-0128</v>
      </c>
      <c r="B129" s="9" t="str">
        <f aca="false">Access_Grants!B129</f>
        <v>E038</v>
      </c>
      <c r="C129" s="9" t="str">
        <f aca="false">Access_Grants!C129</f>
        <v>Victor Chen</v>
      </c>
      <c r="D129" s="9" t="str">
        <f aca="false">Access_Grants!D129</f>
        <v>HR</v>
      </c>
      <c r="E129" s="9" t="str">
        <f aca="false">Access_Grants!E129</f>
        <v>SYS-AD</v>
      </c>
      <c r="F129" s="9" t="str">
        <f aca="false">Access_Grants!F129</f>
        <v>R09</v>
      </c>
      <c r="G129" s="9" t="str">
        <f aca="false">Access_Grants!G129</f>
        <v>Standard Network User</v>
      </c>
      <c r="H129" s="9" t="str">
        <f aca="false">Access_Grants!H129</f>
        <v>Read</v>
      </c>
      <c r="I129" s="9" t="str">
        <f aca="false">Access_Grants!L129</f>
        <v>Active</v>
      </c>
      <c r="J129" s="10" t="n">
        <f aca="false">Access_Grants!I129</f>
        <v>45347</v>
      </c>
      <c r="K129" s="10" t="n">
        <f aca="false">IFERROR(INDEX(HR_Employees!$F$2:$F$51,MATCH(B129,HR_Employees!$A$2:$A$51,0)),"")</f>
        <v>0</v>
      </c>
      <c r="L129" s="10" t="str">
        <f aca="false">IF(Access_Grants!M129="","",Access_Grants!M129)</f>
        <v/>
      </c>
      <c r="M129" s="9" t="str">
        <f aca="false">IF(K129="","N/A - Active Employee",IF(OR(I129="Active",AND(L129&lt;&gt;"",L129&gt;K129+5)),"EXCEPTION: TERMINATED USER - ACCESS NOT REVOKED TIMELY","OK - Revoked Within SLA"))</f>
        <v>N/A - Active Employee</v>
      </c>
      <c r="N129" s="9" t="str">
        <f aca="false">Access_Grants!J129&amp;""</f>
        <v>MGR-02</v>
      </c>
      <c r="O129" s="9" t="str">
        <f aca="false">Access_Grants!K129&amp;""</f>
        <v>CHG-82641</v>
      </c>
      <c r="P129" s="9" t="str">
        <f aca="false">IF(OR(TRIM(N129)="",TRIM(O129)=""),"EXCEPTION: NO DOCUMENTED APPROVAL","OK - Approved")</f>
        <v>OK - Approved</v>
      </c>
      <c r="Q129" s="9" t="str">
        <f aca="false">IFERROR(INDEX(SoD_Conflict_Matrix!$D$2:$D$7,MATCH(F129,SoD_Conflict_Matrix!$B$2:$B$7,0)),IFERROR(INDEX(SoD_Conflict_Matrix!$B$2:$B$7,MATCH(F129,SoD_Conflict_Matrix!$D$2:$D$7,0)),""))</f>
        <v/>
      </c>
      <c r="R129" s="9" t="str">
        <f aca="false">IFERROR(INDEX(SoD_Conflict_Matrix!$E$2:$E$7,MATCH(F129,SoD_Conflict_Matrix!$B$2:$B$7,0)),IFERROR(INDEX(SoD_Conflict_Matrix!$C$2:$C$7,MATCH(F129,SoD_Conflict_Matrix!$D$2:$D$7,0)),""))</f>
        <v/>
      </c>
      <c r="S129" s="9" t="str">
        <f aca="false">IF(Q129="","No Conflict Rule Applies to This Role",IF(COUNTIFS(Access_Grants!$B$2:$B$175,B129,Access_Grants!$F$2:$F$175,Q129,Access_Grants!$L$2:$L$175,"Active")&gt;0,"EXCEPTION: SoD CONFLICT - ALSO HOLDS "&amp;R129,"OK - No Conflicting Role Held"))</f>
        <v>No Conflict Rule Applies to This Role</v>
      </c>
      <c r="T129" s="9" t="str">
        <f aca="false">IF(AND(H129="Admin",I129="Active"),IF(COUNTIFS(Recertifications!$B$2:$B$119,B129,Recertifications!$E$2:$E$119,F129,Recertifications!$K$2:$K$119,"&lt;&gt;")&gt;0,"OK - Recertified","EXCEPTION: PRIVILEGED ACCESS NEVER RECERTIFIED"),"N/A - Not Privileged")</f>
        <v>N/A - Not Privileged</v>
      </c>
      <c r="U129" s="9" t="str">
        <f aca="false">IF(OR(LEFT(M129,9)="EXCEPTION",LEFT(P129,9)="EXCEPTION",LEFT(S129,9)="EXCEPTION",LEFT(T129,9)="EXCEPTION"),"EXCEPTION","Clean")</f>
        <v>Clean</v>
      </c>
      <c r="V129" s="9" t="str">
        <f aca="false">IF(LEFT(M129,9)="EXCEPTION","Deprovisioning Control Gap",IF(LEFT(S129,9)="EXCEPTION","Segregation of Duties Conflict",IF(LEFT(P129,9)="EXCEPTION","Provisioning Approval Gap",IF(LEFT(T129,9)="EXCEPTION","Recertification Gap","N/A"))))</f>
        <v>N/A</v>
      </c>
    </row>
    <row r="130" customFormat="false" ht="15" hidden="false" customHeight="true" outlineLevel="0" collapsed="false">
      <c r="A130" s="9" t="str">
        <f aca="false">Access_Grants!A130</f>
        <v>AG-0129</v>
      </c>
      <c r="B130" s="9" t="str">
        <f aca="false">Access_Grants!B130</f>
        <v>E038</v>
      </c>
      <c r="C130" s="9" t="str">
        <f aca="false">Access_Grants!C130</f>
        <v>Victor Chen</v>
      </c>
      <c r="D130" s="9" t="str">
        <f aca="false">Access_Grants!D130</f>
        <v>HR</v>
      </c>
      <c r="E130" s="9" t="str">
        <f aca="false">Access_Grants!E130</f>
        <v>SYS-HRIS</v>
      </c>
      <c r="F130" s="9" t="str">
        <f aca="false">Access_Grants!F130</f>
        <v>R08</v>
      </c>
      <c r="G130" s="9" t="str">
        <f aca="false">Access_Grants!G130</f>
        <v>Employee Master Read-Only</v>
      </c>
      <c r="H130" s="9" t="str">
        <f aca="false">Access_Grants!H130</f>
        <v>Read</v>
      </c>
      <c r="I130" s="9" t="str">
        <f aca="false">Access_Grants!L130</f>
        <v>Active</v>
      </c>
      <c r="J130" s="10" t="n">
        <f aca="false">Access_Grants!I130</f>
        <v>45404</v>
      </c>
      <c r="K130" s="10" t="n">
        <f aca="false">IFERROR(INDEX(HR_Employees!$F$2:$F$51,MATCH(B130,HR_Employees!$A$2:$A$51,0)),"")</f>
        <v>0</v>
      </c>
      <c r="L130" s="10" t="str">
        <f aca="false">IF(Access_Grants!M130="","",Access_Grants!M130)</f>
        <v/>
      </c>
      <c r="M130" s="9" t="str">
        <f aca="false">IF(K130="","N/A - Active Employee",IF(OR(I130="Active",AND(L130&lt;&gt;"",L130&gt;K130+5)),"EXCEPTION: TERMINATED USER - ACCESS NOT REVOKED TIMELY","OK - Revoked Within SLA"))</f>
        <v>N/A - Active Employee</v>
      </c>
      <c r="N130" s="9" t="str">
        <f aca="false">Access_Grants!J130&amp;""</f>
        <v>MGR-06</v>
      </c>
      <c r="O130" s="9" t="str">
        <f aca="false">Access_Grants!K130&amp;""</f>
        <v>CHG-29340</v>
      </c>
      <c r="P130" s="9" t="str">
        <f aca="false">IF(OR(TRIM(N130)="",TRIM(O130)=""),"EXCEPTION: NO DOCUMENTED APPROVAL","OK - Approved")</f>
        <v>OK - Approved</v>
      </c>
      <c r="Q130" s="9" t="str">
        <f aca="false">IFERROR(INDEX(SoD_Conflict_Matrix!$D$2:$D$7,MATCH(F130,SoD_Conflict_Matrix!$B$2:$B$7,0)),IFERROR(INDEX(SoD_Conflict_Matrix!$B$2:$B$7,MATCH(F130,SoD_Conflict_Matrix!$D$2:$D$7,0)),""))</f>
        <v/>
      </c>
      <c r="R130" s="9" t="str">
        <f aca="false">IFERROR(INDEX(SoD_Conflict_Matrix!$E$2:$E$7,MATCH(F130,SoD_Conflict_Matrix!$B$2:$B$7,0)),IFERROR(INDEX(SoD_Conflict_Matrix!$C$2:$C$7,MATCH(F130,SoD_Conflict_Matrix!$D$2:$D$7,0)),""))</f>
        <v/>
      </c>
      <c r="S130" s="9" t="str">
        <f aca="false">IF(Q130="","No Conflict Rule Applies to This Role",IF(COUNTIFS(Access_Grants!$B$2:$B$175,B130,Access_Grants!$F$2:$F$175,Q130,Access_Grants!$L$2:$L$175,"Active")&gt;0,"EXCEPTION: SoD CONFLICT - ALSO HOLDS "&amp;R130,"OK - No Conflicting Role Held"))</f>
        <v>No Conflict Rule Applies to This Role</v>
      </c>
      <c r="T130" s="9" t="str">
        <f aca="false">IF(AND(H130="Admin",I130="Active"),IF(COUNTIFS(Recertifications!$B$2:$B$119,B130,Recertifications!$E$2:$E$119,F130,Recertifications!$K$2:$K$119,"&lt;&gt;")&gt;0,"OK - Recertified","EXCEPTION: PRIVILEGED ACCESS NEVER RECERTIFIED"),"N/A - Not Privileged")</f>
        <v>N/A - Not Privileged</v>
      </c>
      <c r="U130" s="9" t="str">
        <f aca="false">IF(OR(LEFT(M130,9)="EXCEPTION",LEFT(P130,9)="EXCEPTION",LEFT(S130,9)="EXCEPTION",LEFT(T130,9)="EXCEPTION"),"EXCEPTION","Clean")</f>
        <v>Clean</v>
      </c>
      <c r="V130" s="9" t="str">
        <f aca="false">IF(LEFT(M130,9)="EXCEPTION","Deprovisioning Control Gap",IF(LEFT(S130,9)="EXCEPTION","Segregation of Duties Conflict",IF(LEFT(P130,9)="EXCEPTION","Provisioning Approval Gap",IF(LEFT(T130,9)="EXCEPTION","Recertification Gap","N/A"))))</f>
        <v>N/A</v>
      </c>
    </row>
    <row r="131" customFormat="false" ht="15" hidden="false" customHeight="true" outlineLevel="0" collapsed="false">
      <c r="A131" s="9" t="str">
        <f aca="false">Access_Grants!A131</f>
        <v>AG-0130</v>
      </c>
      <c r="B131" s="9" t="str">
        <f aca="false">Access_Grants!B131</f>
        <v>E038</v>
      </c>
      <c r="C131" s="9" t="str">
        <f aca="false">Access_Grants!C131</f>
        <v>Victor Chen</v>
      </c>
      <c r="D131" s="9" t="str">
        <f aca="false">Access_Grants!D131</f>
        <v>HR</v>
      </c>
      <c r="E131" s="9" t="str">
        <f aca="false">Access_Grants!E131</f>
        <v>SYS-ERP</v>
      </c>
      <c r="F131" s="9" t="str">
        <f aca="false">Access_Grants!F131</f>
        <v>R01</v>
      </c>
      <c r="G131" s="9" t="str">
        <f aca="false">Access_Grants!G131</f>
        <v>AP Invoice Entry</v>
      </c>
      <c r="H131" s="9" t="str">
        <f aca="false">Access_Grants!H131</f>
        <v>Write</v>
      </c>
      <c r="I131" s="9" t="str">
        <f aca="false">Access_Grants!L131</f>
        <v>Active</v>
      </c>
      <c r="J131" s="10" t="n">
        <f aca="false">Access_Grants!I131</f>
        <v>45494</v>
      </c>
      <c r="K131" s="10" t="n">
        <f aca="false">IFERROR(INDEX(HR_Employees!$F$2:$F$51,MATCH(B131,HR_Employees!$A$2:$A$51,0)),"")</f>
        <v>0</v>
      </c>
      <c r="L131" s="10" t="str">
        <f aca="false">IF(Access_Grants!M131="","",Access_Grants!M131)</f>
        <v/>
      </c>
      <c r="M131" s="9" t="str">
        <f aca="false">IF(K131="","N/A - Active Employee",IF(OR(I131="Active",AND(L131&lt;&gt;"",L131&gt;K131+5)),"EXCEPTION: TERMINATED USER - ACCESS NOT REVOKED TIMELY","OK - Revoked Within SLA"))</f>
        <v>N/A - Active Employee</v>
      </c>
      <c r="N131" s="9" t="str">
        <f aca="false">Access_Grants!J131&amp;""</f>
        <v>MGR-03</v>
      </c>
      <c r="O131" s="9" t="str">
        <f aca="false">Access_Grants!K131&amp;""</f>
        <v>CHG-27038</v>
      </c>
      <c r="P131" s="9" t="str">
        <f aca="false">IF(OR(TRIM(N131)="",TRIM(O131)=""),"EXCEPTION: NO DOCUMENTED APPROVAL","OK - Approved")</f>
        <v>OK - Approved</v>
      </c>
      <c r="Q131" s="9" t="str">
        <f aca="false">IFERROR(INDEX(SoD_Conflict_Matrix!$D$2:$D$7,MATCH(F131,SoD_Conflict_Matrix!$B$2:$B$7,0)),IFERROR(INDEX(SoD_Conflict_Matrix!$B$2:$B$7,MATCH(F131,SoD_Conflict_Matrix!$D$2:$D$7,0)),""))</f>
        <v>R02</v>
      </c>
      <c r="R131" s="9" t="str">
        <f aca="false">IFERROR(INDEX(SoD_Conflict_Matrix!$E$2:$E$7,MATCH(F131,SoD_Conflict_Matrix!$B$2:$B$7,0)),IFERROR(INDEX(SoD_Conflict_Matrix!$C$2:$C$7,MATCH(F131,SoD_Conflict_Matrix!$D$2:$D$7,0)),""))</f>
        <v>AP Payment Approval</v>
      </c>
      <c r="S131" s="9" t="str">
        <f aca="false">IF(Q131="","No Conflict Rule Applies to This Role",IF(COUNTIFS(Access_Grants!$B$2:$B$175,B131,Access_Grants!$F$2:$F$175,Q131,Access_Grants!$L$2:$L$175,"Active")&gt;0,"EXCEPTION: SoD CONFLICT - ALSO HOLDS "&amp;R131,"OK - No Conflicting Role Held"))</f>
        <v>EXCEPTION: SoD CONFLICT - ALSO HOLDS AP Payment Approval</v>
      </c>
      <c r="T131" s="9" t="str">
        <f aca="false">IF(AND(H131="Admin",I131="Active"),IF(COUNTIFS(Recertifications!$B$2:$B$119,B131,Recertifications!$E$2:$E$119,F131,Recertifications!$K$2:$K$119,"&lt;&gt;")&gt;0,"OK - Recertified","EXCEPTION: PRIVILEGED ACCESS NEVER RECERTIFIED"),"N/A - Not Privileged")</f>
        <v>N/A - Not Privileged</v>
      </c>
      <c r="U131" s="9" t="str">
        <f aca="false">IF(OR(LEFT(M131,9)="EXCEPTION",LEFT(P131,9)="EXCEPTION",LEFT(S131,9)="EXCEPTION",LEFT(T131,9)="EXCEPTION"),"EXCEPTION","Clean")</f>
        <v>EXCEPTION</v>
      </c>
      <c r="V131" s="9" t="str">
        <f aca="false">IF(LEFT(M131,9)="EXCEPTION","Deprovisioning Control Gap",IF(LEFT(S131,9)="EXCEPTION","Segregation of Duties Conflict",IF(LEFT(P131,9)="EXCEPTION","Provisioning Approval Gap",IF(LEFT(T131,9)="EXCEPTION","Recertification Gap","N/A"))))</f>
        <v>Segregation of Duties Conflict</v>
      </c>
    </row>
    <row r="132" customFormat="false" ht="15" hidden="false" customHeight="true" outlineLevel="0" collapsed="false">
      <c r="A132" s="9" t="str">
        <f aca="false">Access_Grants!A132</f>
        <v>AG-0131</v>
      </c>
      <c r="B132" s="9" t="str">
        <f aca="false">Access_Grants!B132</f>
        <v>E038</v>
      </c>
      <c r="C132" s="9" t="str">
        <f aca="false">Access_Grants!C132</f>
        <v>Victor Chen</v>
      </c>
      <c r="D132" s="9" t="str">
        <f aca="false">Access_Grants!D132</f>
        <v>HR</v>
      </c>
      <c r="E132" s="9" t="str">
        <f aca="false">Access_Grants!E132</f>
        <v>SYS-ERP</v>
      </c>
      <c r="F132" s="9" t="str">
        <f aca="false">Access_Grants!F132</f>
        <v>R02</v>
      </c>
      <c r="G132" s="9" t="str">
        <f aca="false">Access_Grants!G132</f>
        <v>AP Payment Approval</v>
      </c>
      <c r="H132" s="9" t="str">
        <f aca="false">Access_Grants!H132</f>
        <v>Write</v>
      </c>
      <c r="I132" s="9" t="str">
        <f aca="false">Access_Grants!L132</f>
        <v>Active</v>
      </c>
      <c r="J132" s="10" t="n">
        <f aca="false">Access_Grants!I132</f>
        <v>45152</v>
      </c>
      <c r="K132" s="10" t="n">
        <f aca="false">IFERROR(INDEX(HR_Employees!$F$2:$F$51,MATCH(B132,HR_Employees!$A$2:$A$51,0)),"")</f>
        <v>0</v>
      </c>
      <c r="L132" s="10" t="str">
        <f aca="false">IF(Access_Grants!M132="","",Access_Grants!M132)</f>
        <v/>
      </c>
      <c r="M132" s="9" t="str">
        <f aca="false">IF(K132="","N/A - Active Employee",IF(OR(I132="Active",AND(L132&lt;&gt;"",L132&gt;K132+5)),"EXCEPTION: TERMINATED USER - ACCESS NOT REVOKED TIMELY","OK - Revoked Within SLA"))</f>
        <v>N/A - Active Employee</v>
      </c>
      <c r="N132" s="9" t="str">
        <f aca="false">Access_Grants!J132&amp;""</f>
        <v>System Auto-Provision</v>
      </c>
      <c r="O132" s="9" t="str">
        <f aca="false">Access_Grants!K132&amp;""</f>
        <v>CHG-13379</v>
      </c>
      <c r="P132" s="9" t="str">
        <f aca="false">IF(OR(TRIM(N132)="",TRIM(O132)=""),"EXCEPTION: NO DOCUMENTED APPROVAL","OK - Approved")</f>
        <v>OK - Approved</v>
      </c>
      <c r="Q132" s="9" t="str">
        <f aca="false">IFERROR(INDEX(SoD_Conflict_Matrix!$D$2:$D$7,MATCH(F132,SoD_Conflict_Matrix!$B$2:$B$7,0)),IFERROR(INDEX(SoD_Conflict_Matrix!$B$2:$B$7,MATCH(F132,SoD_Conflict_Matrix!$D$2:$D$7,0)),""))</f>
        <v>R01</v>
      </c>
      <c r="R132" s="9" t="str">
        <f aca="false">IFERROR(INDEX(SoD_Conflict_Matrix!$E$2:$E$7,MATCH(F132,SoD_Conflict_Matrix!$B$2:$B$7,0)),IFERROR(INDEX(SoD_Conflict_Matrix!$C$2:$C$7,MATCH(F132,SoD_Conflict_Matrix!$D$2:$D$7,0)),""))</f>
        <v>AP Invoice Entry</v>
      </c>
      <c r="S132" s="9" t="str">
        <f aca="false">IF(Q132="","No Conflict Rule Applies to This Role",IF(COUNTIFS(Access_Grants!$B$2:$B$175,B132,Access_Grants!$F$2:$F$175,Q132,Access_Grants!$L$2:$L$175,"Active")&gt;0,"EXCEPTION: SoD CONFLICT - ALSO HOLDS "&amp;R132,"OK - No Conflicting Role Held"))</f>
        <v>EXCEPTION: SoD CONFLICT - ALSO HOLDS AP Invoice Entry</v>
      </c>
      <c r="T132" s="9" t="str">
        <f aca="false">IF(AND(H132="Admin",I132="Active"),IF(COUNTIFS(Recertifications!$B$2:$B$119,B132,Recertifications!$E$2:$E$119,F132,Recertifications!$K$2:$K$119,"&lt;&gt;")&gt;0,"OK - Recertified","EXCEPTION: PRIVILEGED ACCESS NEVER RECERTIFIED"),"N/A - Not Privileged")</f>
        <v>N/A - Not Privileged</v>
      </c>
      <c r="U132" s="9" t="str">
        <f aca="false">IF(OR(LEFT(M132,9)="EXCEPTION",LEFT(P132,9)="EXCEPTION",LEFT(S132,9)="EXCEPTION",LEFT(T132,9)="EXCEPTION"),"EXCEPTION","Clean")</f>
        <v>EXCEPTION</v>
      </c>
      <c r="V132" s="9" t="str">
        <f aca="false">IF(LEFT(M132,9)="EXCEPTION","Deprovisioning Control Gap",IF(LEFT(S132,9)="EXCEPTION","Segregation of Duties Conflict",IF(LEFT(P132,9)="EXCEPTION","Provisioning Approval Gap",IF(LEFT(T132,9)="EXCEPTION","Recertification Gap","N/A"))))</f>
        <v>Segregation of Duties Conflict</v>
      </c>
    </row>
    <row r="133" customFormat="false" ht="15" hidden="false" customHeight="true" outlineLevel="0" collapsed="false">
      <c r="A133" s="9" t="str">
        <f aca="false">Access_Grants!A133</f>
        <v>AG-0132</v>
      </c>
      <c r="B133" s="9" t="str">
        <f aca="false">Access_Grants!B133</f>
        <v>E039</v>
      </c>
      <c r="C133" s="9" t="str">
        <f aca="false">Access_Grants!C133</f>
        <v>Olivia Reyes</v>
      </c>
      <c r="D133" s="9" t="str">
        <f aca="false">Access_Grants!D133</f>
        <v>Procurement</v>
      </c>
      <c r="E133" s="9" t="str">
        <f aca="false">Access_Grants!E133</f>
        <v>SYS-HRIS</v>
      </c>
      <c r="F133" s="9" t="str">
        <f aca="false">Access_Grants!F133</f>
        <v>R08</v>
      </c>
      <c r="G133" s="9" t="str">
        <f aca="false">Access_Grants!G133</f>
        <v>Employee Master Read-Only</v>
      </c>
      <c r="H133" s="9" t="str">
        <f aca="false">Access_Grants!H133</f>
        <v>Read</v>
      </c>
      <c r="I133" s="9" t="str">
        <f aca="false">Access_Grants!L133</f>
        <v>Revoked</v>
      </c>
      <c r="J133" s="10" t="n">
        <f aca="false">Access_Grants!I133</f>
        <v>45588</v>
      </c>
      <c r="K133" s="10" t="n">
        <f aca="false">IFERROR(INDEX(HR_Employees!$F$2:$F$51,MATCH(B133,HR_Employees!$A$2:$A$51,0)),"")</f>
        <v>45961</v>
      </c>
      <c r="L133" s="10" t="n">
        <f aca="false">IF(Access_Grants!M133="","",Access_Grants!M133)</f>
        <v>45964</v>
      </c>
      <c r="M133" s="9" t="str">
        <f aca="false">IF(K133="","N/A - Active Employee",IF(OR(I133="Active",AND(L133&lt;&gt;"",L133&gt;K133+5)),"EXCEPTION: TERMINATED USER - ACCESS NOT REVOKED TIMELY","OK - Revoked Within SLA"))</f>
        <v>OK - Revoked Within SLA</v>
      </c>
      <c r="N133" s="9" t="str">
        <f aca="false">Access_Grants!J133&amp;""</f>
        <v/>
      </c>
      <c r="O133" s="9" t="str">
        <f aca="false">Access_Grants!K133&amp;""</f>
        <v>CHG-78955</v>
      </c>
      <c r="P133" s="9" t="str">
        <f aca="false">IF(OR(TRIM(N133)="",TRIM(O133)=""),"EXCEPTION: NO DOCUMENTED APPROVAL","OK - Approved")</f>
        <v>EXCEPTION: NO DOCUMENTED APPROVAL</v>
      </c>
      <c r="Q133" s="9" t="str">
        <f aca="false">IFERROR(INDEX(SoD_Conflict_Matrix!$D$2:$D$7,MATCH(F133,SoD_Conflict_Matrix!$B$2:$B$7,0)),IFERROR(INDEX(SoD_Conflict_Matrix!$B$2:$B$7,MATCH(F133,SoD_Conflict_Matrix!$D$2:$D$7,0)),""))</f>
        <v/>
      </c>
      <c r="R133" s="9" t="str">
        <f aca="false">IFERROR(INDEX(SoD_Conflict_Matrix!$E$2:$E$7,MATCH(F133,SoD_Conflict_Matrix!$B$2:$B$7,0)),IFERROR(INDEX(SoD_Conflict_Matrix!$C$2:$C$7,MATCH(F133,SoD_Conflict_Matrix!$D$2:$D$7,0)),""))</f>
        <v/>
      </c>
      <c r="S133" s="9" t="str">
        <f aca="false">IF(Q133="","No Conflict Rule Applies to This Role",IF(COUNTIFS(Access_Grants!$B$2:$B$175,B133,Access_Grants!$F$2:$F$175,Q133,Access_Grants!$L$2:$L$175,"Active")&gt;0,"EXCEPTION: SoD CONFLICT - ALSO HOLDS "&amp;R133,"OK - No Conflicting Role Held"))</f>
        <v>No Conflict Rule Applies to This Role</v>
      </c>
      <c r="T133" s="9" t="str">
        <f aca="false">IF(AND(H133="Admin",I133="Active"),IF(COUNTIFS(Recertifications!$B$2:$B$119,B133,Recertifications!$E$2:$E$119,F133,Recertifications!$K$2:$K$119,"&lt;&gt;")&gt;0,"OK - Recertified","EXCEPTION: PRIVILEGED ACCESS NEVER RECERTIFIED"),"N/A - Not Privileged")</f>
        <v>N/A - Not Privileged</v>
      </c>
      <c r="U133" s="9" t="str">
        <f aca="false">IF(OR(LEFT(M133,9)="EXCEPTION",LEFT(P133,9)="EXCEPTION",LEFT(S133,9)="EXCEPTION",LEFT(T133,9)="EXCEPTION"),"EXCEPTION","Clean")</f>
        <v>EXCEPTION</v>
      </c>
      <c r="V133" s="9" t="str">
        <f aca="false">IF(LEFT(M133,9)="EXCEPTION","Deprovisioning Control Gap",IF(LEFT(S133,9)="EXCEPTION","Segregation of Duties Conflict",IF(LEFT(P133,9)="EXCEPTION","Provisioning Approval Gap",IF(LEFT(T133,9)="EXCEPTION","Recertification Gap","N/A"))))</f>
        <v>Provisioning Approval Gap</v>
      </c>
    </row>
    <row r="134" customFormat="false" ht="15" hidden="false" customHeight="true" outlineLevel="0" collapsed="false">
      <c r="A134" s="9" t="str">
        <f aca="false">Access_Grants!A134</f>
        <v>AG-0133</v>
      </c>
      <c r="B134" s="9" t="str">
        <f aca="false">Access_Grants!B134</f>
        <v>E039</v>
      </c>
      <c r="C134" s="9" t="str">
        <f aca="false">Access_Grants!C134</f>
        <v>Olivia Reyes</v>
      </c>
      <c r="D134" s="9" t="str">
        <f aca="false">Access_Grants!D134</f>
        <v>Procurement</v>
      </c>
      <c r="E134" s="9" t="str">
        <f aca="false">Access_Grants!E134</f>
        <v>SYS-ERP</v>
      </c>
      <c r="F134" s="9" t="str">
        <f aca="false">Access_Grants!F134</f>
        <v>R01</v>
      </c>
      <c r="G134" s="9" t="str">
        <f aca="false">Access_Grants!G134</f>
        <v>AP Invoice Entry</v>
      </c>
      <c r="H134" s="9" t="str">
        <f aca="false">Access_Grants!H134</f>
        <v>Write</v>
      </c>
      <c r="I134" s="9" t="str">
        <f aca="false">Access_Grants!L134</f>
        <v>Active</v>
      </c>
      <c r="J134" s="10" t="n">
        <f aca="false">Access_Grants!I134</f>
        <v>45984</v>
      </c>
      <c r="K134" s="10" t="n">
        <f aca="false">IFERROR(INDEX(HR_Employees!$F$2:$F$51,MATCH(B134,HR_Employees!$A$2:$A$51,0)),"")</f>
        <v>45961</v>
      </c>
      <c r="L134" s="10" t="str">
        <f aca="false">IF(Access_Grants!M134="","",Access_Grants!M134)</f>
        <v/>
      </c>
      <c r="M134" s="9" t="str">
        <f aca="false">IF(K134="","N/A - Active Employee",IF(OR(I134="Active",AND(L134&lt;&gt;"",L134&gt;K134+5)),"EXCEPTION: TERMINATED USER - ACCESS NOT REVOKED TIMELY","OK - Revoked Within SLA"))</f>
        <v>EXCEPTION: TERMINATED USER - ACCESS NOT REVOKED TIMELY</v>
      </c>
      <c r="N134" s="9" t="str">
        <f aca="false">Access_Grants!J134&amp;""</f>
        <v>MGR-10</v>
      </c>
      <c r="O134" s="9" t="str">
        <f aca="false">Access_Grants!K134&amp;""</f>
        <v>CHG-24293</v>
      </c>
      <c r="P134" s="9" t="str">
        <f aca="false">IF(OR(TRIM(N134)="",TRIM(O134)=""),"EXCEPTION: NO DOCUMENTED APPROVAL","OK - Approved")</f>
        <v>OK - Approved</v>
      </c>
      <c r="Q134" s="9" t="str">
        <f aca="false">IFERROR(INDEX(SoD_Conflict_Matrix!$D$2:$D$7,MATCH(F134,SoD_Conflict_Matrix!$B$2:$B$7,0)),IFERROR(INDEX(SoD_Conflict_Matrix!$B$2:$B$7,MATCH(F134,SoD_Conflict_Matrix!$D$2:$D$7,0)),""))</f>
        <v>R02</v>
      </c>
      <c r="R134" s="9" t="str">
        <f aca="false">IFERROR(INDEX(SoD_Conflict_Matrix!$E$2:$E$7,MATCH(F134,SoD_Conflict_Matrix!$B$2:$B$7,0)),IFERROR(INDEX(SoD_Conflict_Matrix!$C$2:$C$7,MATCH(F134,SoD_Conflict_Matrix!$D$2:$D$7,0)),""))</f>
        <v>AP Payment Approval</v>
      </c>
      <c r="S134" s="9" t="str">
        <f aca="false">IF(Q134="","No Conflict Rule Applies to This Role",IF(COUNTIFS(Access_Grants!$B$2:$B$175,B134,Access_Grants!$F$2:$F$175,Q134,Access_Grants!$L$2:$L$175,"Active")&gt;0,"EXCEPTION: SoD CONFLICT - ALSO HOLDS "&amp;R134,"OK - No Conflicting Role Held"))</f>
        <v>OK - No Conflicting Role Held</v>
      </c>
      <c r="T134" s="9" t="str">
        <f aca="false">IF(AND(H134="Admin",I134="Active"),IF(COUNTIFS(Recertifications!$B$2:$B$119,B134,Recertifications!$E$2:$E$119,F134,Recertifications!$K$2:$K$119,"&lt;&gt;")&gt;0,"OK - Recertified","EXCEPTION: PRIVILEGED ACCESS NEVER RECERTIFIED"),"N/A - Not Privileged")</f>
        <v>N/A - Not Privileged</v>
      </c>
      <c r="U134" s="9" t="str">
        <f aca="false">IF(OR(LEFT(M134,9)="EXCEPTION",LEFT(P134,9)="EXCEPTION",LEFT(S134,9)="EXCEPTION",LEFT(T134,9)="EXCEPTION"),"EXCEPTION","Clean")</f>
        <v>EXCEPTION</v>
      </c>
      <c r="V134" s="9" t="str">
        <f aca="false">IF(LEFT(M134,9)="EXCEPTION","Deprovisioning Control Gap",IF(LEFT(S134,9)="EXCEPTION","Segregation of Duties Conflict",IF(LEFT(P134,9)="EXCEPTION","Provisioning Approval Gap",IF(LEFT(T134,9)="EXCEPTION","Recertification Gap","N/A"))))</f>
        <v>Deprovisioning Control Gap</v>
      </c>
    </row>
    <row r="135" customFormat="false" ht="15" hidden="false" customHeight="true" outlineLevel="0" collapsed="false">
      <c r="A135" s="9" t="str">
        <f aca="false">Access_Grants!A135</f>
        <v>AG-0134</v>
      </c>
      <c r="B135" s="9" t="str">
        <f aca="false">Access_Grants!B135</f>
        <v>E039</v>
      </c>
      <c r="C135" s="9" t="str">
        <f aca="false">Access_Grants!C135</f>
        <v>Olivia Reyes</v>
      </c>
      <c r="D135" s="9" t="str">
        <f aca="false">Access_Grants!D135</f>
        <v>Procurement</v>
      </c>
      <c r="E135" s="9" t="str">
        <f aca="false">Access_Grants!E135</f>
        <v>SYS-ERP</v>
      </c>
      <c r="F135" s="9" t="str">
        <f aca="false">Access_Grants!F135</f>
        <v>R02</v>
      </c>
      <c r="G135" s="9" t="str">
        <f aca="false">Access_Grants!G135</f>
        <v>AP Payment Approval</v>
      </c>
      <c r="H135" s="9" t="str">
        <f aca="false">Access_Grants!H135</f>
        <v>Write</v>
      </c>
      <c r="I135" s="9" t="str">
        <f aca="false">Access_Grants!L135</f>
        <v>Revoked</v>
      </c>
      <c r="J135" s="10" t="n">
        <f aca="false">Access_Grants!I135</f>
        <v>46088</v>
      </c>
      <c r="K135" s="10" t="n">
        <f aca="false">IFERROR(INDEX(HR_Employees!$F$2:$F$51,MATCH(B135,HR_Employees!$A$2:$A$51,0)),"")</f>
        <v>45961</v>
      </c>
      <c r="L135" s="10" t="n">
        <f aca="false">IF(Access_Grants!M135="","",Access_Grants!M135)</f>
        <v>45962</v>
      </c>
      <c r="M135" s="9" t="str">
        <f aca="false">IF(K135="","N/A - Active Employee",IF(OR(I135="Active",AND(L135&lt;&gt;"",L135&gt;K135+5)),"EXCEPTION: TERMINATED USER - ACCESS NOT REVOKED TIMELY","OK - Revoked Within SLA"))</f>
        <v>OK - Revoked Within SLA</v>
      </c>
      <c r="N135" s="9" t="str">
        <f aca="false">Access_Grants!J135&amp;""</f>
        <v>MGR-01</v>
      </c>
      <c r="O135" s="9" t="str">
        <f aca="false">Access_Grants!K135&amp;""</f>
        <v>CHG-96363</v>
      </c>
      <c r="P135" s="9" t="str">
        <f aca="false">IF(OR(TRIM(N135)="",TRIM(O135)=""),"EXCEPTION: NO DOCUMENTED APPROVAL","OK - Approved")</f>
        <v>OK - Approved</v>
      </c>
      <c r="Q135" s="9" t="str">
        <f aca="false">IFERROR(INDEX(SoD_Conflict_Matrix!$D$2:$D$7,MATCH(F135,SoD_Conflict_Matrix!$B$2:$B$7,0)),IFERROR(INDEX(SoD_Conflict_Matrix!$B$2:$B$7,MATCH(F135,SoD_Conflict_Matrix!$D$2:$D$7,0)),""))</f>
        <v>R01</v>
      </c>
      <c r="R135" s="9" t="str">
        <f aca="false">IFERROR(INDEX(SoD_Conflict_Matrix!$E$2:$E$7,MATCH(F135,SoD_Conflict_Matrix!$B$2:$B$7,0)),IFERROR(INDEX(SoD_Conflict_Matrix!$C$2:$C$7,MATCH(F135,SoD_Conflict_Matrix!$D$2:$D$7,0)),""))</f>
        <v>AP Invoice Entry</v>
      </c>
      <c r="S135" s="9" t="str">
        <f aca="false">IF(Q135="","No Conflict Rule Applies to This Role",IF(COUNTIFS(Access_Grants!$B$2:$B$175,B135,Access_Grants!$F$2:$F$175,Q135,Access_Grants!$L$2:$L$175,"Active")&gt;0,"EXCEPTION: SoD CONFLICT - ALSO HOLDS "&amp;R135,"OK - No Conflicting Role Held"))</f>
        <v>EXCEPTION: SoD CONFLICT - ALSO HOLDS AP Invoice Entry</v>
      </c>
      <c r="T135" s="9" t="str">
        <f aca="false">IF(AND(H135="Admin",I135="Active"),IF(COUNTIFS(Recertifications!$B$2:$B$119,B135,Recertifications!$E$2:$E$119,F135,Recertifications!$K$2:$K$119,"&lt;&gt;")&gt;0,"OK - Recertified","EXCEPTION: PRIVILEGED ACCESS NEVER RECERTIFIED"),"N/A - Not Privileged")</f>
        <v>N/A - Not Privileged</v>
      </c>
      <c r="U135" s="9" t="str">
        <f aca="false">IF(OR(LEFT(M135,9)="EXCEPTION",LEFT(P135,9)="EXCEPTION",LEFT(S135,9)="EXCEPTION",LEFT(T135,9)="EXCEPTION"),"EXCEPTION","Clean")</f>
        <v>EXCEPTION</v>
      </c>
      <c r="V135" s="9" t="str">
        <f aca="false">IF(LEFT(M135,9)="EXCEPTION","Deprovisioning Control Gap",IF(LEFT(S135,9)="EXCEPTION","Segregation of Duties Conflict",IF(LEFT(P135,9)="EXCEPTION","Provisioning Approval Gap",IF(LEFT(T135,9)="EXCEPTION","Recertification Gap","N/A"))))</f>
        <v>Segregation of Duties Conflict</v>
      </c>
    </row>
    <row r="136" customFormat="false" ht="15" hidden="false" customHeight="true" outlineLevel="0" collapsed="false">
      <c r="A136" s="9" t="str">
        <f aca="false">Access_Grants!A136</f>
        <v>AG-0135</v>
      </c>
      <c r="B136" s="9" t="str">
        <f aca="false">Access_Grants!B136</f>
        <v>E040</v>
      </c>
      <c r="C136" s="9" t="str">
        <f aca="false">Access_Grants!C136</f>
        <v>Emma Petrov</v>
      </c>
      <c r="D136" s="9" t="str">
        <f aca="false">Access_Grants!D136</f>
        <v>Procurement</v>
      </c>
      <c r="E136" s="9" t="str">
        <f aca="false">Access_Grants!E136</f>
        <v>SYS-ERP</v>
      </c>
      <c r="F136" s="9" t="str">
        <f aca="false">Access_Grants!F136</f>
        <v>R03</v>
      </c>
      <c r="G136" s="9" t="str">
        <f aca="false">Access_Grants!G136</f>
        <v>Vendor Master Maintenance</v>
      </c>
      <c r="H136" s="9" t="str">
        <f aca="false">Access_Grants!H136</f>
        <v>Write</v>
      </c>
      <c r="I136" s="9" t="str">
        <f aca="false">Access_Grants!L136</f>
        <v>Active</v>
      </c>
      <c r="J136" s="10" t="n">
        <f aca="false">Access_Grants!I136</f>
        <v>44982</v>
      </c>
      <c r="K136" s="10" t="n">
        <f aca="false">IFERROR(INDEX(HR_Employees!$F$2:$F$51,MATCH(B136,HR_Employees!$A$2:$A$51,0)),"")</f>
        <v>0</v>
      </c>
      <c r="L136" s="10" t="str">
        <f aca="false">IF(Access_Grants!M136="","",Access_Grants!M136)</f>
        <v/>
      </c>
      <c r="M136" s="9" t="str">
        <f aca="false">IF(K136="","N/A - Active Employee",IF(OR(I136="Active",AND(L136&lt;&gt;"",L136&gt;K136+5)),"EXCEPTION: TERMINATED USER - ACCESS NOT REVOKED TIMELY","OK - Revoked Within SLA"))</f>
        <v>N/A - Active Employee</v>
      </c>
      <c r="N136" s="9" t="str">
        <f aca="false">Access_Grants!J136&amp;""</f>
        <v/>
      </c>
      <c r="O136" s="9" t="str">
        <f aca="false">Access_Grants!K136&amp;""</f>
        <v>CHG-68138</v>
      </c>
      <c r="P136" s="9" t="str">
        <f aca="false">IF(OR(TRIM(N136)="",TRIM(O136)=""),"EXCEPTION: NO DOCUMENTED APPROVAL","OK - Approved")</f>
        <v>EXCEPTION: NO DOCUMENTED APPROVAL</v>
      </c>
      <c r="Q136" s="9" t="str">
        <f aca="false">IFERROR(INDEX(SoD_Conflict_Matrix!$D$2:$D$7,MATCH(F136,SoD_Conflict_Matrix!$B$2:$B$7,0)),IFERROR(INDEX(SoD_Conflict_Matrix!$B$2:$B$7,MATCH(F136,SoD_Conflict_Matrix!$D$2:$D$7,0)),""))</f>
        <v>R02</v>
      </c>
      <c r="R136" s="9" t="str">
        <f aca="false">IFERROR(INDEX(SoD_Conflict_Matrix!$E$2:$E$7,MATCH(F136,SoD_Conflict_Matrix!$B$2:$B$7,0)),IFERROR(INDEX(SoD_Conflict_Matrix!$C$2:$C$7,MATCH(F136,SoD_Conflict_Matrix!$D$2:$D$7,0)),""))</f>
        <v>AP Payment Approval</v>
      </c>
      <c r="S136" s="9" t="str">
        <f aca="false">IF(Q136="","No Conflict Rule Applies to This Role",IF(COUNTIFS(Access_Grants!$B$2:$B$175,B136,Access_Grants!$F$2:$F$175,Q136,Access_Grants!$L$2:$L$175,"Active")&gt;0,"EXCEPTION: SoD CONFLICT - ALSO HOLDS "&amp;R136,"OK - No Conflicting Role Held"))</f>
        <v>OK - No Conflicting Role Held</v>
      </c>
      <c r="T136" s="9" t="str">
        <f aca="false">IF(AND(H136="Admin",I136="Active"),IF(COUNTIFS(Recertifications!$B$2:$B$119,B136,Recertifications!$E$2:$E$119,F136,Recertifications!$K$2:$K$119,"&lt;&gt;")&gt;0,"OK - Recertified","EXCEPTION: PRIVILEGED ACCESS NEVER RECERTIFIED"),"N/A - Not Privileged")</f>
        <v>N/A - Not Privileged</v>
      </c>
      <c r="U136" s="9" t="str">
        <f aca="false">IF(OR(LEFT(M136,9)="EXCEPTION",LEFT(P136,9)="EXCEPTION",LEFT(S136,9)="EXCEPTION",LEFT(T136,9)="EXCEPTION"),"EXCEPTION","Clean")</f>
        <v>EXCEPTION</v>
      </c>
      <c r="V136" s="9" t="str">
        <f aca="false">IF(LEFT(M136,9)="EXCEPTION","Deprovisioning Control Gap",IF(LEFT(S136,9)="EXCEPTION","Segregation of Duties Conflict",IF(LEFT(P136,9)="EXCEPTION","Provisioning Approval Gap",IF(LEFT(T136,9)="EXCEPTION","Recertification Gap","N/A"))))</f>
        <v>Provisioning Approval Gap</v>
      </c>
    </row>
    <row r="137" customFormat="false" ht="15" hidden="false" customHeight="true" outlineLevel="0" collapsed="false">
      <c r="A137" s="9" t="str">
        <f aca="false">Access_Grants!A137</f>
        <v>AG-0136</v>
      </c>
      <c r="B137" s="9" t="str">
        <f aca="false">Access_Grants!B137</f>
        <v>E040</v>
      </c>
      <c r="C137" s="9" t="str">
        <f aca="false">Access_Grants!C137</f>
        <v>Emma Petrov</v>
      </c>
      <c r="D137" s="9" t="str">
        <f aca="false">Access_Grants!D137</f>
        <v>Procurement</v>
      </c>
      <c r="E137" s="9" t="str">
        <f aca="false">Access_Grants!E137</f>
        <v>SYS-AD</v>
      </c>
      <c r="F137" s="9" t="str">
        <f aca="false">Access_Grants!F137</f>
        <v>R09</v>
      </c>
      <c r="G137" s="9" t="str">
        <f aca="false">Access_Grants!G137</f>
        <v>Standard Network User</v>
      </c>
      <c r="H137" s="9" t="str">
        <f aca="false">Access_Grants!H137</f>
        <v>Read</v>
      </c>
      <c r="I137" s="9" t="str">
        <f aca="false">Access_Grants!L137</f>
        <v>Active</v>
      </c>
      <c r="J137" s="10" t="n">
        <f aca="false">Access_Grants!I137</f>
        <v>44960</v>
      </c>
      <c r="K137" s="10" t="n">
        <f aca="false">IFERROR(INDEX(HR_Employees!$F$2:$F$51,MATCH(B137,HR_Employees!$A$2:$A$51,0)),"")</f>
        <v>0</v>
      </c>
      <c r="L137" s="10" t="str">
        <f aca="false">IF(Access_Grants!M137="","",Access_Grants!M137)</f>
        <v/>
      </c>
      <c r="M137" s="9" t="str">
        <f aca="false">IF(K137="","N/A - Active Employee",IF(OR(I137="Active",AND(L137&lt;&gt;"",L137&gt;K137+5)),"EXCEPTION: TERMINATED USER - ACCESS NOT REVOKED TIMELY","OK - Revoked Within SLA"))</f>
        <v>N/A - Active Employee</v>
      </c>
      <c r="N137" s="9" t="str">
        <f aca="false">Access_Grants!J137&amp;""</f>
        <v>MGR-03</v>
      </c>
      <c r="O137" s="9" t="str">
        <f aca="false">Access_Grants!K137&amp;""</f>
        <v>CHG-46046</v>
      </c>
      <c r="P137" s="9" t="str">
        <f aca="false">IF(OR(TRIM(N137)="",TRIM(O137)=""),"EXCEPTION: NO DOCUMENTED APPROVAL","OK - Approved")</f>
        <v>OK - Approved</v>
      </c>
      <c r="Q137" s="9" t="str">
        <f aca="false">IFERROR(INDEX(SoD_Conflict_Matrix!$D$2:$D$7,MATCH(F137,SoD_Conflict_Matrix!$B$2:$B$7,0)),IFERROR(INDEX(SoD_Conflict_Matrix!$B$2:$B$7,MATCH(F137,SoD_Conflict_Matrix!$D$2:$D$7,0)),""))</f>
        <v/>
      </c>
      <c r="R137" s="9" t="str">
        <f aca="false">IFERROR(INDEX(SoD_Conflict_Matrix!$E$2:$E$7,MATCH(F137,SoD_Conflict_Matrix!$B$2:$B$7,0)),IFERROR(INDEX(SoD_Conflict_Matrix!$C$2:$C$7,MATCH(F137,SoD_Conflict_Matrix!$D$2:$D$7,0)),""))</f>
        <v/>
      </c>
      <c r="S137" s="9" t="str">
        <f aca="false">IF(Q137="","No Conflict Rule Applies to This Role",IF(COUNTIFS(Access_Grants!$B$2:$B$175,B137,Access_Grants!$F$2:$F$175,Q137,Access_Grants!$L$2:$L$175,"Active")&gt;0,"EXCEPTION: SoD CONFLICT - ALSO HOLDS "&amp;R137,"OK - No Conflicting Role Held"))</f>
        <v>No Conflict Rule Applies to This Role</v>
      </c>
      <c r="T137" s="9" t="str">
        <f aca="false">IF(AND(H137="Admin",I137="Active"),IF(COUNTIFS(Recertifications!$B$2:$B$119,B137,Recertifications!$E$2:$E$119,F137,Recertifications!$K$2:$K$119,"&lt;&gt;")&gt;0,"OK - Recertified","EXCEPTION: PRIVILEGED ACCESS NEVER RECERTIFIED"),"N/A - Not Privileged")</f>
        <v>N/A - Not Privileged</v>
      </c>
      <c r="U137" s="9" t="str">
        <f aca="false">IF(OR(LEFT(M137,9)="EXCEPTION",LEFT(P137,9)="EXCEPTION",LEFT(S137,9)="EXCEPTION",LEFT(T137,9)="EXCEPTION"),"EXCEPTION","Clean")</f>
        <v>Clean</v>
      </c>
      <c r="V137" s="9" t="str">
        <f aca="false">IF(LEFT(M137,9)="EXCEPTION","Deprovisioning Control Gap",IF(LEFT(S137,9)="EXCEPTION","Segregation of Duties Conflict",IF(LEFT(P137,9)="EXCEPTION","Provisioning Approval Gap",IF(LEFT(T137,9)="EXCEPTION","Recertification Gap","N/A"))))</f>
        <v>N/A</v>
      </c>
    </row>
    <row r="138" customFormat="false" ht="15" hidden="false" customHeight="true" outlineLevel="0" collapsed="false">
      <c r="A138" s="9" t="str">
        <f aca="false">Access_Grants!A138</f>
        <v>AG-0137</v>
      </c>
      <c r="B138" s="9" t="str">
        <f aca="false">Access_Grants!B138</f>
        <v>E041</v>
      </c>
      <c r="C138" s="9" t="str">
        <f aca="false">Access_Grants!C138</f>
        <v>Emma Dubois</v>
      </c>
      <c r="D138" s="9" t="str">
        <f aca="false">Access_Grants!D138</f>
        <v>Procurement</v>
      </c>
      <c r="E138" s="9" t="str">
        <f aca="false">Access_Grants!E138</f>
        <v>SYS-HRIS</v>
      </c>
      <c r="F138" s="9" t="str">
        <f aca="false">Access_Grants!F138</f>
        <v>R08</v>
      </c>
      <c r="G138" s="9" t="str">
        <f aca="false">Access_Grants!G138</f>
        <v>Employee Master Read-Only</v>
      </c>
      <c r="H138" s="9" t="str">
        <f aca="false">Access_Grants!H138</f>
        <v>Read</v>
      </c>
      <c r="I138" s="9" t="str">
        <f aca="false">Access_Grants!L138</f>
        <v>Revoked</v>
      </c>
      <c r="J138" s="10" t="n">
        <f aca="false">Access_Grants!I138</f>
        <v>46081</v>
      </c>
      <c r="K138" s="10" t="n">
        <f aca="false">IFERROR(INDEX(HR_Employees!$F$2:$F$51,MATCH(B138,HR_Employees!$A$2:$A$51,0)),"")</f>
        <v>46178</v>
      </c>
      <c r="L138" s="10" t="n">
        <f aca="false">IF(Access_Grants!M138="","",Access_Grants!M138)</f>
        <v>46182</v>
      </c>
      <c r="M138" s="9" t="str">
        <f aca="false">IF(K138="","N/A - Active Employee",IF(OR(I138="Active",AND(L138&lt;&gt;"",L138&gt;K138+5)),"EXCEPTION: TERMINATED USER - ACCESS NOT REVOKED TIMELY","OK - Revoked Within SLA"))</f>
        <v>OK - Revoked Within SLA</v>
      </c>
      <c r="N138" s="9" t="str">
        <f aca="false">Access_Grants!J138&amp;""</f>
        <v>MGR-02</v>
      </c>
      <c r="O138" s="9" t="str">
        <f aca="false">Access_Grants!K138&amp;""</f>
        <v>CHG-24996</v>
      </c>
      <c r="P138" s="9" t="str">
        <f aca="false">IF(OR(TRIM(N138)="",TRIM(O138)=""),"EXCEPTION: NO DOCUMENTED APPROVAL","OK - Approved")</f>
        <v>OK - Approved</v>
      </c>
      <c r="Q138" s="9" t="str">
        <f aca="false">IFERROR(INDEX(SoD_Conflict_Matrix!$D$2:$D$7,MATCH(F138,SoD_Conflict_Matrix!$B$2:$B$7,0)),IFERROR(INDEX(SoD_Conflict_Matrix!$B$2:$B$7,MATCH(F138,SoD_Conflict_Matrix!$D$2:$D$7,0)),""))</f>
        <v/>
      </c>
      <c r="R138" s="9" t="str">
        <f aca="false">IFERROR(INDEX(SoD_Conflict_Matrix!$E$2:$E$7,MATCH(F138,SoD_Conflict_Matrix!$B$2:$B$7,0)),IFERROR(INDEX(SoD_Conflict_Matrix!$C$2:$C$7,MATCH(F138,SoD_Conflict_Matrix!$D$2:$D$7,0)),""))</f>
        <v/>
      </c>
      <c r="S138" s="9" t="str">
        <f aca="false">IF(Q138="","No Conflict Rule Applies to This Role",IF(COUNTIFS(Access_Grants!$B$2:$B$175,B138,Access_Grants!$F$2:$F$175,Q138,Access_Grants!$L$2:$L$175,"Active")&gt;0,"EXCEPTION: SoD CONFLICT - ALSO HOLDS "&amp;R138,"OK - No Conflicting Role Held"))</f>
        <v>No Conflict Rule Applies to This Role</v>
      </c>
      <c r="T138" s="9" t="str">
        <f aca="false">IF(AND(H138="Admin",I138="Active"),IF(COUNTIFS(Recertifications!$B$2:$B$119,B138,Recertifications!$E$2:$E$119,F138,Recertifications!$K$2:$K$119,"&lt;&gt;")&gt;0,"OK - Recertified","EXCEPTION: PRIVILEGED ACCESS NEVER RECERTIFIED"),"N/A - Not Privileged")</f>
        <v>N/A - Not Privileged</v>
      </c>
      <c r="U138" s="9" t="str">
        <f aca="false">IF(OR(LEFT(M138,9)="EXCEPTION",LEFT(P138,9)="EXCEPTION",LEFT(S138,9)="EXCEPTION",LEFT(T138,9)="EXCEPTION"),"EXCEPTION","Clean")</f>
        <v>Clean</v>
      </c>
      <c r="V138" s="9" t="str">
        <f aca="false">IF(LEFT(M138,9)="EXCEPTION","Deprovisioning Control Gap",IF(LEFT(S138,9)="EXCEPTION","Segregation of Duties Conflict",IF(LEFT(P138,9)="EXCEPTION","Provisioning Approval Gap",IF(LEFT(T138,9)="EXCEPTION","Recertification Gap","N/A"))))</f>
        <v>N/A</v>
      </c>
    </row>
    <row r="139" customFormat="false" ht="15" hidden="false" customHeight="true" outlineLevel="0" collapsed="false">
      <c r="A139" s="9" t="str">
        <f aca="false">Access_Grants!A139</f>
        <v>AG-0138</v>
      </c>
      <c r="B139" s="9" t="str">
        <f aca="false">Access_Grants!B139</f>
        <v>E041</v>
      </c>
      <c r="C139" s="9" t="str">
        <f aca="false">Access_Grants!C139</f>
        <v>Emma Dubois</v>
      </c>
      <c r="D139" s="9" t="str">
        <f aca="false">Access_Grants!D139</f>
        <v>Procurement</v>
      </c>
      <c r="E139" s="9" t="str">
        <f aca="false">Access_Grants!E139</f>
        <v>SYS-AD</v>
      </c>
      <c r="F139" s="9" t="str">
        <f aca="false">Access_Grants!F139</f>
        <v>R09</v>
      </c>
      <c r="G139" s="9" t="str">
        <f aca="false">Access_Grants!G139</f>
        <v>Standard Network User</v>
      </c>
      <c r="H139" s="9" t="str">
        <f aca="false">Access_Grants!H139</f>
        <v>Read</v>
      </c>
      <c r="I139" s="9" t="str">
        <f aca="false">Access_Grants!L139</f>
        <v>Revoked</v>
      </c>
      <c r="J139" s="10" t="n">
        <f aca="false">Access_Grants!I139</f>
        <v>45861</v>
      </c>
      <c r="K139" s="10" t="n">
        <f aca="false">IFERROR(INDEX(HR_Employees!$F$2:$F$51,MATCH(B139,HR_Employees!$A$2:$A$51,0)),"")</f>
        <v>46178</v>
      </c>
      <c r="L139" s="10" t="n">
        <f aca="false">IF(Access_Grants!M139="","",Access_Grants!M139)</f>
        <v>46181</v>
      </c>
      <c r="M139" s="9" t="str">
        <f aca="false">IF(K139="","N/A - Active Employee",IF(OR(I139="Active",AND(L139&lt;&gt;"",L139&gt;K139+5)),"EXCEPTION: TERMINATED USER - ACCESS NOT REVOKED TIMELY","OK - Revoked Within SLA"))</f>
        <v>OK - Revoked Within SLA</v>
      </c>
      <c r="N139" s="9" t="str">
        <f aca="false">Access_Grants!J139&amp;""</f>
        <v>MGR-07</v>
      </c>
      <c r="O139" s="9" t="str">
        <f aca="false">Access_Grants!K139&amp;""</f>
        <v>CHG-69186</v>
      </c>
      <c r="P139" s="9" t="str">
        <f aca="false">IF(OR(TRIM(N139)="",TRIM(O139)=""),"EXCEPTION: NO DOCUMENTED APPROVAL","OK - Approved")</f>
        <v>OK - Approved</v>
      </c>
      <c r="Q139" s="9" t="str">
        <f aca="false">IFERROR(INDEX(SoD_Conflict_Matrix!$D$2:$D$7,MATCH(F139,SoD_Conflict_Matrix!$B$2:$B$7,0)),IFERROR(INDEX(SoD_Conflict_Matrix!$B$2:$B$7,MATCH(F139,SoD_Conflict_Matrix!$D$2:$D$7,0)),""))</f>
        <v/>
      </c>
      <c r="R139" s="9" t="str">
        <f aca="false">IFERROR(INDEX(SoD_Conflict_Matrix!$E$2:$E$7,MATCH(F139,SoD_Conflict_Matrix!$B$2:$B$7,0)),IFERROR(INDEX(SoD_Conflict_Matrix!$C$2:$C$7,MATCH(F139,SoD_Conflict_Matrix!$D$2:$D$7,0)),""))</f>
        <v/>
      </c>
      <c r="S139" s="9" t="str">
        <f aca="false">IF(Q139="","No Conflict Rule Applies to This Role",IF(COUNTIFS(Access_Grants!$B$2:$B$175,B139,Access_Grants!$F$2:$F$175,Q139,Access_Grants!$L$2:$L$175,"Active")&gt;0,"EXCEPTION: SoD CONFLICT - ALSO HOLDS "&amp;R139,"OK - No Conflicting Role Held"))</f>
        <v>No Conflict Rule Applies to This Role</v>
      </c>
      <c r="T139" s="9" t="str">
        <f aca="false">IF(AND(H139="Admin",I139="Active"),IF(COUNTIFS(Recertifications!$B$2:$B$119,B139,Recertifications!$E$2:$E$119,F139,Recertifications!$K$2:$K$119,"&lt;&gt;")&gt;0,"OK - Recertified","EXCEPTION: PRIVILEGED ACCESS NEVER RECERTIFIED"),"N/A - Not Privileged")</f>
        <v>N/A - Not Privileged</v>
      </c>
      <c r="U139" s="9" t="str">
        <f aca="false">IF(OR(LEFT(M139,9)="EXCEPTION",LEFT(P139,9)="EXCEPTION",LEFT(S139,9)="EXCEPTION",LEFT(T139,9)="EXCEPTION"),"EXCEPTION","Clean")</f>
        <v>Clean</v>
      </c>
      <c r="V139" s="9" t="str">
        <f aca="false">IF(LEFT(M139,9)="EXCEPTION","Deprovisioning Control Gap",IF(LEFT(S139,9)="EXCEPTION","Segregation of Duties Conflict",IF(LEFT(P139,9)="EXCEPTION","Provisioning Approval Gap",IF(LEFT(T139,9)="EXCEPTION","Recertification Gap","N/A"))))</f>
        <v>N/A</v>
      </c>
    </row>
    <row r="140" customFormat="false" ht="15" hidden="false" customHeight="true" outlineLevel="0" collapsed="false">
      <c r="A140" s="9" t="str">
        <f aca="false">Access_Grants!A140</f>
        <v>AG-0139</v>
      </c>
      <c r="B140" s="9" t="str">
        <f aca="false">Access_Grants!B140</f>
        <v>E041</v>
      </c>
      <c r="C140" s="9" t="str">
        <f aca="false">Access_Grants!C140</f>
        <v>Emma Dubois</v>
      </c>
      <c r="D140" s="9" t="str">
        <f aca="false">Access_Grants!D140</f>
        <v>Procurement</v>
      </c>
      <c r="E140" s="9" t="str">
        <f aca="false">Access_Grants!E140</f>
        <v>SYS-ERP</v>
      </c>
      <c r="F140" s="9" t="str">
        <f aca="false">Access_Grants!F140</f>
        <v>R03</v>
      </c>
      <c r="G140" s="9" t="str">
        <f aca="false">Access_Grants!G140</f>
        <v>Vendor Master Maintenance</v>
      </c>
      <c r="H140" s="9" t="str">
        <f aca="false">Access_Grants!H140</f>
        <v>Write</v>
      </c>
      <c r="I140" s="9" t="str">
        <f aca="false">Access_Grants!L140</f>
        <v>Active</v>
      </c>
      <c r="J140" s="10" t="n">
        <f aca="false">Access_Grants!I140</f>
        <v>46049</v>
      </c>
      <c r="K140" s="10" t="n">
        <f aca="false">IFERROR(INDEX(HR_Employees!$F$2:$F$51,MATCH(B140,HR_Employees!$A$2:$A$51,0)),"")</f>
        <v>46178</v>
      </c>
      <c r="L140" s="10" t="str">
        <f aca="false">IF(Access_Grants!M140="","",Access_Grants!M140)</f>
        <v/>
      </c>
      <c r="M140" s="9" t="str">
        <f aca="false">IF(K140="","N/A - Active Employee",IF(OR(I140="Active",AND(L140&lt;&gt;"",L140&gt;K140+5)),"EXCEPTION: TERMINATED USER - ACCESS NOT REVOKED TIMELY","OK - Revoked Within SLA"))</f>
        <v>EXCEPTION: TERMINATED USER - ACCESS NOT REVOKED TIMELY</v>
      </c>
      <c r="N140" s="9" t="str">
        <f aca="false">Access_Grants!J140&amp;""</f>
        <v>MGR-07</v>
      </c>
      <c r="O140" s="9" t="str">
        <f aca="false">Access_Grants!K140&amp;""</f>
        <v>CHG-22463</v>
      </c>
      <c r="P140" s="9" t="str">
        <f aca="false">IF(OR(TRIM(N140)="",TRIM(O140)=""),"EXCEPTION: NO DOCUMENTED APPROVAL","OK - Approved")</f>
        <v>OK - Approved</v>
      </c>
      <c r="Q140" s="9" t="str">
        <f aca="false">IFERROR(INDEX(SoD_Conflict_Matrix!$D$2:$D$7,MATCH(F140,SoD_Conflict_Matrix!$B$2:$B$7,0)),IFERROR(INDEX(SoD_Conflict_Matrix!$B$2:$B$7,MATCH(F140,SoD_Conflict_Matrix!$D$2:$D$7,0)),""))</f>
        <v>R02</v>
      </c>
      <c r="R140" s="9" t="str">
        <f aca="false">IFERROR(INDEX(SoD_Conflict_Matrix!$E$2:$E$7,MATCH(F140,SoD_Conflict_Matrix!$B$2:$B$7,0)),IFERROR(INDEX(SoD_Conflict_Matrix!$C$2:$C$7,MATCH(F140,SoD_Conflict_Matrix!$D$2:$D$7,0)),""))</f>
        <v>AP Payment Approval</v>
      </c>
      <c r="S140" s="9" t="str">
        <f aca="false">IF(Q140="","No Conflict Rule Applies to This Role",IF(COUNTIFS(Access_Grants!$B$2:$B$175,B140,Access_Grants!$F$2:$F$175,Q140,Access_Grants!$L$2:$L$175,"Active")&gt;0,"EXCEPTION: SoD CONFLICT - ALSO HOLDS "&amp;R140,"OK - No Conflicting Role Held"))</f>
        <v>OK - No Conflicting Role Held</v>
      </c>
      <c r="T140" s="9" t="str">
        <f aca="false">IF(AND(H140="Admin",I140="Active"),IF(COUNTIFS(Recertifications!$B$2:$B$119,B140,Recertifications!$E$2:$E$119,F140,Recertifications!$K$2:$K$119,"&lt;&gt;")&gt;0,"OK - Recertified","EXCEPTION: PRIVILEGED ACCESS NEVER RECERTIFIED"),"N/A - Not Privileged")</f>
        <v>N/A - Not Privileged</v>
      </c>
      <c r="U140" s="9" t="str">
        <f aca="false">IF(OR(LEFT(M140,9)="EXCEPTION",LEFT(P140,9)="EXCEPTION",LEFT(S140,9)="EXCEPTION",LEFT(T140,9)="EXCEPTION"),"EXCEPTION","Clean")</f>
        <v>EXCEPTION</v>
      </c>
      <c r="V140" s="9" t="str">
        <f aca="false">IF(LEFT(M140,9)="EXCEPTION","Deprovisioning Control Gap",IF(LEFT(S140,9)="EXCEPTION","Segregation of Duties Conflict",IF(LEFT(P140,9)="EXCEPTION","Provisioning Approval Gap",IF(LEFT(T140,9)="EXCEPTION","Recertification Gap","N/A"))))</f>
        <v>Deprovisioning Control Gap</v>
      </c>
    </row>
    <row r="141" customFormat="false" ht="15" hidden="false" customHeight="true" outlineLevel="0" collapsed="false">
      <c r="A141" s="9" t="str">
        <f aca="false">Access_Grants!A141</f>
        <v>AG-0140</v>
      </c>
      <c r="B141" s="9" t="str">
        <f aca="false">Access_Grants!B141</f>
        <v>E041</v>
      </c>
      <c r="C141" s="9" t="str">
        <f aca="false">Access_Grants!C141</f>
        <v>Emma Dubois</v>
      </c>
      <c r="D141" s="9" t="str">
        <f aca="false">Access_Grants!D141</f>
        <v>Procurement</v>
      </c>
      <c r="E141" s="9" t="str">
        <f aca="false">Access_Grants!E141</f>
        <v>SYS-ERP</v>
      </c>
      <c r="F141" s="9" t="str">
        <f aca="false">Access_Grants!F141</f>
        <v>R01</v>
      </c>
      <c r="G141" s="9" t="str">
        <f aca="false">Access_Grants!G141</f>
        <v>AP Invoice Entry</v>
      </c>
      <c r="H141" s="9" t="str">
        <f aca="false">Access_Grants!H141</f>
        <v>Write</v>
      </c>
      <c r="I141" s="9" t="str">
        <f aca="false">Access_Grants!L141</f>
        <v>Revoked</v>
      </c>
      <c r="J141" s="10" t="n">
        <f aca="false">Access_Grants!I141</f>
        <v>45902</v>
      </c>
      <c r="K141" s="10" t="n">
        <f aca="false">IFERROR(INDEX(HR_Employees!$F$2:$F$51,MATCH(B141,HR_Employees!$A$2:$A$51,0)),"")</f>
        <v>46178</v>
      </c>
      <c r="L141" s="10" t="n">
        <f aca="false">IF(Access_Grants!M141="","",Access_Grants!M141)</f>
        <v>46179</v>
      </c>
      <c r="M141" s="9" t="str">
        <f aca="false">IF(K141="","N/A - Active Employee",IF(OR(I141="Active",AND(L141&lt;&gt;"",L141&gt;K141+5)),"EXCEPTION: TERMINATED USER - ACCESS NOT REVOKED TIMELY","OK - Revoked Within SLA"))</f>
        <v>OK - Revoked Within SLA</v>
      </c>
      <c r="N141" s="9" t="str">
        <f aca="false">Access_Grants!J141&amp;""</f>
        <v>MGR-06</v>
      </c>
      <c r="O141" s="9" t="str">
        <f aca="false">Access_Grants!K141&amp;""</f>
        <v>CHG-30006</v>
      </c>
      <c r="P141" s="9" t="str">
        <f aca="false">IF(OR(TRIM(N141)="",TRIM(O141)=""),"EXCEPTION: NO DOCUMENTED APPROVAL","OK - Approved")</f>
        <v>OK - Approved</v>
      </c>
      <c r="Q141" s="9" t="str">
        <f aca="false">IFERROR(INDEX(SoD_Conflict_Matrix!$D$2:$D$7,MATCH(F141,SoD_Conflict_Matrix!$B$2:$B$7,0)),IFERROR(INDEX(SoD_Conflict_Matrix!$B$2:$B$7,MATCH(F141,SoD_Conflict_Matrix!$D$2:$D$7,0)),""))</f>
        <v>R02</v>
      </c>
      <c r="R141" s="9" t="str">
        <f aca="false">IFERROR(INDEX(SoD_Conflict_Matrix!$E$2:$E$7,MATCH(F141,SoD_Conflict_Matrix!$B$2:$B$7,0)),IFERROR(INDEX(SoD_Conflict_Matrix!$C$2:$C$7,MATCH(F141,SoD_Conflict_Matrix!$D$2:$D$7,0)),""))</f>
        <v>AP Payment Approval</v>
      </c>
      <c r="S141" s="9" t="str">
        <f aca="false">IF(Q141="","No Conflict Rule Applies to This Role",IF(COUNTIFS(Access_Grants!$B$2:$B$175,B141,Access_Grants!$F$2:$F$175,Q141,Access_Grants!$L$2:$L$175,"Active")&gt;0,"EXCEPTION: SoD CONFLICT - ALSO HOLDS "&amp;R141,"OK - No Conflicting Role Held"))</f>
        <v>OK - No Conflicting Role Held</v>
      </c>
      <c r="T141" s="9" t="str">
        <f aca="false">IF(AND(H141="Admin",I141="Active"),IF(COUNTIFS(Recertifications!$B$2:$B$119,B141,Recertifications!$E$2:$E$119,F141,Recertifications!$K$2:$K$119,"&lt;&gt;")&gt;0,"OK - Recertified","EXCEPTION: PRIVILEGED ACCESS NEVER RECERTIFIED"),"N/A - Not Privileged")</f>
        <v>N/A - Not Privileged</v>
      </c>
      <c r="U141" s="9" t="str">
        <f aca="false">IF(OR(LEFT(M141,9)="EXCEPTION",LEFT(P141,9)="EXCEPTION",LEFT(S141,9)="EXCEPTION",LEFT(T141,9)="EXCEPTION"),"EXCEPTION","Clean")</f>
        <v>Clean</v>
      </c>
      <c r="V141" s="9" t="str">
        <f aca="false">IF(LEFT(M141,9)="EXCEPTION","Deprovisioning Control Gap",IF(LEFT(S141,9)="EXCEPTION","Segregation of Duties Conflict",IF(LEFT(P141,9)="EXCEPTION","Provisioning Approval Gap",IF(LEFT(T141,9)="EXCEPTION","Recertification Gap","N/A"))))</f>
        <v>N/A</v>
      </c>
    </row>
    <row r="142" customFormat="false" ht="15" hidden="false" customHeight="true" outlineLevel="0" collapsed="false">
      <c r="A142" s="9" t="str">
        <f aca="false">Access_Grants!A142</f>
        <v>AG-0141</v>
      </c>
      <c r="B142" s="9" t="str">
        <f aca="false">Access_Grants!B142</f>
        <v>E042</v>
      </c>
      <c r="C142" s="9" t="str">
        <f aca="false">Access_Grants!C142</f>
        <v>Carlos Lopez</v>
      </c>
      <c r="D142" s="9" t="str">
        <f aca="false">Access_Grants!D142</f>
        <v>Accounts Payable</v>
      </c>
      <c r="E142" s="9" t="str">
        <f aca="false">Access_Grants!E142</f>
        <v>SYS-ERP</v>
      </c>
      <c r="F142" s="9" t="str">
        <f aca="false">Access_Grants!F142</f>
        <v>R01</v>
      </c>
      <c r="G142" s="9" t="str">
        <f aca="false">Access_Grants!G142</f>
        <v>AP Invoice Entry</v>
      </c>
      <c r="H142" s="9" t="str">
        <f aca="false">Access_Grants!H142</f>
        <v>Write</v>
      </c>
      <c r="I142" s="9" t="str">
        <f aca="false">Access_Grants!L142</f>
        <v>Active</v>
      </c>
      <c r="J142" s="10" t="n">
        <f aca="false">Access_Grants!I142</f>
        <v>45308</v>
      </c>
      <c r="K142" s="10" t="n">
        <f aca="false">IFERROR(INDEX(HR_Employees!$F$2:$F$51,MATCH(B142,HR_Employees!$A$2:$A$51,0)),"")</f>
        <v>0</v>
      </c>
      <c r="L142" s="10" t="str">
        <f aca="false">IF(Access_Grants!M142="","",Access_Grants!M142)</f>
        <v/>
      </c>
      <c r="M142" s="9" t="str">
        <f aca="false">IF(K142="","N/A - Active Employee",IF(OR(I142="Active",AND(L142&lt;&gt;"",L142&gt;K142+5)),"EXCEPTION: TERMINATED USER - ACCESS NOT REVOKED TIMELY","OK - Revoked Within SLA"))</f>
        <v>N/A - Active Employee</v>
      </c>
      <c r="N142" s="9" t="str">
        <f aca="false">Access_Grants!J142&amp;""</f>
        <v>MGR-03</v>
      </c>
      <c r="O142" s="9" t="str">
        <f aca="false">Access_Grants!K142&amp;""</f>
        <v/>
      </c>
      <c r="P142" s="9" t="str">
        <f aca="false">IF(OR(TRIM(N142)="",TRIM(O142)=""),"EXCEPTION: NO DOCUMENTED APPROVAL","OK - Approved")</f>
        <v>EXCEPTION: NO DOCUMENTED APPROVAL</v>
      </c>
      <c r="Q142" s="9" t="str">
        <f aca="false">IFERROR(INDEX(SoD_Conflict_Matrix!$D$2:$D$7,MATCH(F142,SoD_Conflict_Matrix!$B$2:$B$7,0)),IFERROR(INDEX(SoD_Conflict_Matrix!$B$2:$B$7,MATCH(F142,SoD_Conflict_Matrix!$D$2:$D$7,0)),""))</f>
        <v>R02</v>
      </c>
      <c r="R142" s="9" t="str">
        <f aca="false">IFERROR(INDEX(SoD_Conflict_Matrix!$E$2:$E$7,MATCH(F142,SoD_Conflict_Matrix!$B$2:$B$7,0)),IFERROR(INDEX(SoD_Conflict_Matrix!$C$2:$C$7,MATCH(F142,SoD_Conflict_Matrix!$D$2:$D$7,0)),""))</f>
        <v>AP Payment Approval</v>
      </c>
      <c r="S142" s="9" t="str">
        <f aca="false">IF(Q142="","No Conflict Rule Applies to This Role",IF(COUNTIFS(Access_Grants!$B$2:$B$175,B142,Access_Grants!$F$2:$F$175,Q142,Access_Grants!$L$2:$L$175,"Active")&gt;0,"EXCEPTION: SoD CONFLICT - ALSO HOLDS "&amp;R142,"OK - No Conflicting Role Held"))</f>
        <v>OK - No Conflicting Role Held</v>
      </c>
      <c r="T142" s="9" t="str">
        <f aca="false">IF(AND(H142="Admin",I142="Active"),IF(COUNTIFS(Recertifications!$B$2:$B$119,B142,Recertifications!$E$2:$E$119,F142,Recertifications!$K$2:$K$119,"&lt;&gt;")&gt;0,"OK - Recertified","EXCEPTION: PRIVILEGED ACCESS NEVER RECERTIFIED"),"N/A - Not Privileged")</f>
        <v>N/A - Not Privileged</v>
      </c>
      <c r="U142" s="9" t="str">
        <f aca="false">IF(OR(LEFT(M142,9)="EXCEPTION",LEFT(P142,9)="EXCEPTION",LEFT(S142,9)="EXCEPTION",LEFT(T142,9)="EXCEPTION"),"EXCEPTION","Clean")</f>
        <v>EXCEPTION</v>
      </c>
      <c r="V142" s="9" t="str">
        <f aca="false">IF(LEFT(M142,9)="EXCEPTION","Deprovisioning Control Gap",IF(LEFT(S142,9)="EXCEPTION","Segregation of Duties Conflict",IF(LEFT(P142,9)="EXCEPTION","Provisioning Approval Gap",IF(LEFT(T142,9)="EXCEPTION","Recertification Gap","N/A"))))</f>
        <v>Provisioning Approval Gap</v>
      </c>
    </row>
    <row r="143" customFormat="false" ht="15" hidden="false" customHeight="true" outlineLevel="0" collapsed="false">
      <c r="A143" s="9" t="str">
        <f aca="false">Access_Grants!A143</f>
        <v>AG-0142</v>
      </c>
      <c r="B143" s="9" t="str">
        <f aca="false">Access_Grants!B143</f>
        <v>E042</v>
      </c>
      <c r="C143" s="9" t="str">
        <f aca="false">Access_Grants!C143</f>
        <v>Carlos Lopez</v>
      </c>
      <c r="D143" s="9" t="str">
        <f aca="false">Access_Grants!D143</f>
        <v>Accounts Payable</v>
      </c>
      <c r="E143" s="9" t="str">
        <f aca="false">Access_Grants!E143</f>
        <v>SYS-ERP</v>
      </c>
      <c r="F143" s="9" t="str">
        <f aca="false">Access_Grants!F143</f>
        <v>R03</v>
      </c>
      <c r="G143" s="9" t="str">
        <f aca="false">Access_Grants!G143</f>
        <v>Vendor Master Maintenance</v>
      </c>
      <c r="H143" s="9" t="str">
        <f aca="false">Access_Grants!H143</f>
        <v>Write</v>
      </c>
      <c r="I143" s="9" t="str">
        <f aca="false">Access_Grants!L143</f>
        <v>Active</v>
      </c>
      <c r="J143" s="10" t="n">
        <f aca="false">Access_Grants!I143</f>
        <v>45613</v>
      </c>
      <c r="K143" s="10" t="n">
        <f aca="false">IFERROR(INDEX(HR_Employees!$F$2:$F$51,MATCH(B143,HR_Employees!$A$2:$A$51,0)),"")</f>
        <v>0</v>
      </c>
      <c r="L143" s="10" t="str">
        <f aca="false">IF(Access_Grants!M143="","",Access_Grants!M143)</f>
        <v/>
      </c>
      <c r="M143" s="9" t="str">
        <f aca="false">IF(K143="","N/A - Active Employee",IF(OR(I143="Active",AND(L143&lt;&gt;"",L143&gt;K143+5)),"EXCEPTION: TERMINATED USER - ACCESS NOT REVOKED TIMELY","OK - Revoked Within SLA"))</f>
        <v>N/A - Active Employee</v>
      </c>
      <c r="N143" s="9" t="str">
        <f aca="false">Access_Grants!J143&amp;""</f>
        <v>MGR-02</v>
      </c>
      <c r="O143" s="9" t="str">
        <f aca="false">Access_Grants!K143&amp;""</f>
        <v>CHG-63845</v>
      </c>
      <c r="P143" s="9" t="str">
        <f aca="false">IF(OR(TRIM(N143)="",TRIM(O143)=""),"EXCEPTION: NO DOCUMENTED APPROVAL","OK - Approved")</f>
        <v>OK - Approved</v>
      </c>
      <c r="Q143" s="9" t="str">
        <f aca="false">IFERROR(INDEX(SoD_Conflict_Matrix!$D$2:$D$7,MATCH(F143,SoD_Conflict_Matrix!$B$2:$B$7,0)),IFERROR(INDEX(SoD_Conflict_Matrix!$B$2:$B$7,MATCH(F143,SoD_Conflict_Matrix!$D$2:$D$7,0)),""))</f>
        <v>R02</v>
      </c>
      <c r="R143" s="9" t="str">
        <f aca="false">IFERROR(INDEX(SoD_Conflict_Matrix!$E$2:$E$7,MATCH(F143,SoD_Conflict_Matrix!$B$2:$B$7,0)),IFERROR(INDEX(SoD_Conflict_Matrix!$C$2:$C$7,MATCH(F143,SoD_Conflict_Matrix!$D$2:$D$7,0)),""))</f>
        <v>AP Payment Approval</v>
      </c>
      <c r="S143" s="9" t="str">
        <f aca="false">IF(Q143="","No Conflict Rule Applies to This Role",IF(COUNTIFS(Access_Grants!$B$2:$B$175,B143,Access_Grants!$F$2:$F$175,Q143,Access_Grants!$L$2:$L$175,"Active")&gt;0,"EXCEPTION: SoD CONFLICT - ALSO HOLDS "&amp;R143,"OK - No Conflicting Role Held"))</f>
        <v>OK - No Conflicting Role Held</v>
      </c>
      <c r="T143" s="9" t="str">
        <f aca="false">IF(AND(H143="Admin",I143="Active"),IF(COUNTIFS(Recertifications!$B$2:$B$119,B143,Recertifications!$E$2:$E$119,F143,Recertifications!$K$2:$K$119,"&lt;&gt;")&gt;0,"OK - Recertified","EXCEPTION: PRIVILEGED ACCESS NEVER RECERTIFIED"),"N/A - Not Privileged")</f>
        <v>N/A - Not Privileged</v>
      </c>
      <c r="U143" s="9" t="str">
        <f aca="false">IF(OR(LEFT(M143,9)="EXCEPTION",LEFT(P143,9)="EXCEPTION",LEFT(S143,9)="EXCEPTION",LEFT(T143,9)="EXCEPTION"),"EXCEPTION","Clean")</f>
        <v>Clean</v>
      </c>
      <c r="V143" s="9" t="str">
        <f aca="false">IF(LEFT(M143,9)="EXCEPTION","Deprovisioning Control Gap",IF(LEFT(S143,9)="EXCEPTION","Segregation of Duties Conflict",IF(LEFT(P143,9)="EXCEPTION","Provisioning Approval Gap",IF(LEFT(T143,9)="EXCEPTION","Recertification Gap","N/A"))))</f>
        <v>N/A</v>
      </c>
    </row>
    <row r="144" customFormat="false" ht="15" hidden="false" customHeight="true" outlineLevel="0" collapsed="false">
      <c r="A144" s="9" t="str">
        <f aca="false">Access_Grants!A144</f>
        <v>AG-0143</v>
      </c>
      <c r="B144" s="9" t="str">
        <f aca="false">Access_Grants!B144</f>
        <v>E042</v>
      </c>
      <c r="C144" s="9" t="str">
        <f aca="false">Access_Grants!C144</f>
        <v>Carlos Lopez</v>
      </c>
      <c r="D144" s="9" t="str">
        <f aca="false">Access_Grants!D144</f>
        <v>Accounts Payable</v>
      </c>
      <c r="E144" s="9" t="str">
        <f aca="false">Access_Grants!E144</f>
        <v>SYS-BANK</v>
      </c>
      <c r="F144" s="9" t="str">
        <f aca="false">Access_Grants!F144</f>
        <v>R13</v>
      </c>
      <c r="G144" s="9" t="str">
        <f aca="false">Access_Grants!G144</f>
        <v>Wire Initiation</v>
      </c>
      <c r="H144" s="9" t="str">
        <f aca="false">Access_Grants!H144</f>
        <v>Write</v>
      </c>
      <c r="I144" s="9" t="str">
        <f aca="false">Access_Grants!L144</f>
        <v>Active</v>
      </c>
      <c r="J144" s="10" t="n">
        <f aca="false">Access_Grants!I144</f>
        <v>45695</v>
      </c>
      <c r="K144" s="10" t="n">
        <f aca="false">IFERROR(INDEX(HR_Employees!$F$2:$F$51,MATCH(B144,HR_Employees!$A$2:$A$51,0)),"")</f>
        <v>0</v>
      </c>
      <c r="L144" s="10" t="str">
        <f aca="false">IF(Access_Grants!M144="","",Access_Grants!M144)</f>
        <v/>
      </c>
      <c r="M144" s="9" t="str">
        <f aca="false">IF(K144="","N/A - Active Employee",IF(OR(I144="Active",AND(L144&lt;&gt;"",L144&gt;K144+5)),"EXCEPTION: TERMINATED USER - ACCESS NOT REVOKED TIMELY","OK - Revoked Within SLA"))</f>
        <v>N/A - Active Employee</v>
      </c>
      <c r="N144" s="9" t="str">
        <f aca="false">Access_Grants!J144&amp;""</f>
        <v>MGR-07</v>
      </c>
      <c r="O144" s="9" t="str">
        <f aca="false">Access_Grants!K144&amp;""</f>
        <v>CHG-16743</v>
      </c>
      <c r="P144" s="9" t="str">
        <f aca="false">IF(OR(TRIM(N144)="",TRIM(O144)=""),"EXCEPTION: NO DOCUMENTED APPROVAL","OK - Approved")</f>
        <v>OK - Approved</v>
      </c>
      <c r="Q144" s="9" t="str">
        <f aca="false">IFERROR(INDEX(SoD_Conflict_Matrix!$D$2:$D$7,MATCH(F144,SoD_Conflict_Matrix!$B$2:$B$7,0)),IFERROR(INDEX(SoD_Conflict_Matrix!$B$2:$B$7,MATCH(F144,SoD_Conflict_Matrix!$D$2:$D$7,0)),""))</f>
        <v>R14</v>
      </c>
      <c r="R144" s="9" t="str">
        <f aca="false">IFERROR(INDEX(SoD_Conflict_Matrix!$E$2:$E$7,MATCH(F144,SoD_Conflict_Matrix!$B$2:$B$7,0)),IFERROR(INDEX(SoD_Conflict_Matrix!$C$2:$C$7,MATCH(F144,SoD_Conflict_Matrix!$D$2:$D$7,0)),""))</f>
        <v>Wire Approval / Release</v>
      </c>
      <c r="S144" s="9" t="str">
        <f aca="false">IF(Q144="","No Conflict Rule Applies to This Role",IF(COUNTIFS(Access_Grants!$B$2:$B$175,B144,Access_Grants!$F$2:$F$175,Q144,Access_Grants!$L$2:$L$175,"Active")&gt;0,"EXCEPTION: SoD CONFLICT - ALSO HOLDS "&amp;R144,"OK - No Conflicting Role Held"))</f>
        <v>EXCEPTION: SoD CONFLICT - ALSO HOLDS Wire Approval / Release</v>
      </c>
      <c r="T144" s="9" t="str">
        <f aca="false">IF(AND(H144="Admin",I144="Active"),IF(COUNTIFS(Recertifications!$B$2:$B$119,B144,Recertifications!$E$2:$E$119,F144,Recertifications!$K$2:$K$119,"&lt;&gt;")&gt;0,"OK - Recertified","EXCEPTION: PRIVILEGED ACCESS NEVER RECERTIFIED"),"N/A - Not Privileged")</f>
        <v>N/A - Not Privileged</v>
      </c>
      <c r="U144" s="9" t="str">
        <f aca="false">IF(OR(LEFT(M144,9)="EXCEPTION",LEFT(P144,9)="EXCEPTION",LEFT(S144,9)="EXCEPTION",LEFT(T144,9)="EXCEPTION"),"EXCEPTION","Clean")</f>
        <v>EXCEPTION</v>
      </c>
      <c r="V144" s="9" t="str">
        <f aca="false">IF(LEFT(M144,9)="EXCEPTION","Deprovisioning Control Gap",IF(LEFT(S144,9)="EXCEPTION","Segregation of Duties Conflict",IF(LEFT(P144,9)="EXCEPTION","Provisioning Approval Gap",IF(LEFT(T144,9)="EXCEPTION","Recertification Gap","N/A"))))</f>
        <v>Segregation of Duties Conflict</v>
      </c>
    </row>
    <row r="145" customFormat="false" ht="15" hidden="false" customHeight="true" outlineLevel="0" collapsed="false">
      <c r="A145" s="9" t="str">
        <f aca="false">Access_Grants!A145</f>
        <v>AG-0144</v>
      </c>
      <c r="B145" s="9" t="str">
        <f aca="false">Access_Grants!B145</f>
        <v>E042</v>
      </c>
      <c r="C145" s="9" t="str">
        <f aca="false">Access_Grants!C145</f>
        <v>Carlos Lopez</v>
      </c>
      <c r="D145" s="9" t="str">
        <f aca="false">Access_Grants!D145</f>
        <v>Accounts Payable</v>
      </c>
      <c r="E145" s="9" t="str">
        <f aca="false">Access_Grants!E145</f>
        <v>SYS-BANK</v>
      </c>
      <c r="F145" s="9" t="str">
        <f aca="false">Access_Grants!F145</f>
        <v>R14</v>
      </c>
      <c r="G145" s="9" t="str">
        <f aca="false">Access_Grants!G145</f>
        <v>Wire Approval / Release</v>
      </c>
      <c r="H145" s="9" t="str">
        <f aca="false">Access_Grants!H145</f>
        <v>Admin</v>
      </c>
      <c r="I145" s="9" t="str">
        <f aca="false">Access_Grants!L145</f>
        <v>Active</v>
      </c>
      <c r="J145" s="10" t="n">
        <f aca="false">Access_Grants!I145</f>
        <v>45287</v>
      </c>
      <c r="K145" s="10" t="n">
        <f aca="false">IFERROR(INDEX(HR_Employees!$F$2:$F$51,MATCH(B145,HR_Employees!$A$2:$A$51,0)),"")</f>
        <v>0</v>
      </c>
      <c r="L145" s="10" t="str">
        <f aca="false">IF(Access_Grants!M145="","",Access_Grants!M145)</f>
        <v/>
      </c>
      <c r="M145" s="9" t="str">
        <f aca="false">IF(K145="","N/A - Active Employee",IF(OR(I145="Active",AND(L145&lt;&gt;"",L145&gt;K145+5)),"EXCEPTION: TERMINATED USER - ACCESS NOT REVOKED TIMELY","OK - Revoked Within SLA"))</f>
        <v>N/A - Active Employee</v>
      </c>
      <c r="N145" s="9" t="str">
        <f aca="false">Access_Grants!J145&amp;""</f>
        <v>MGR-02</v>
      </c>
      <c r="O145" s="9" t="str">
        <f aca="false">Access_Grants!K145&amp;""</f>
        <v>CHG-85748</v>
      </c>
      <c r="P145" s="9" t="str">
        <f aca="false">IF(OR(TRIM(N145)="",TRIM(O145)=""),"EXCEPTION: NO DOCUMENTED APPROVAL","OK - Approved")</f>
        <v>OK - Approved</v>
      </c>
      <c r="Q145" s="9" t="str">
        <f aca="false">IFERROR(INDEX(SoD_Conflict_Matrix!$D$2:$D$7,MATCH(F145,SoD_Conflict_Matrix!$B$2:$B$7,0)),IFERROR(INDEX(SoD_Conflict_Matrix!$B$2:$B$7,MATCH(F145,SoD_Conflict_Matrix!$D$2:$D$7,0)),""))</f>
        <v>R13</v>
      </c>
      <c r="R145" s="9" t="str">
        <f aca="false">IFERROR(INDEX(SoD_Conflict_Matrix!$E$2:$E$7,MATCH(F145,SoD_Conflict_Matrix!$B$2:$B$7,0)),IFERROR(INDEX(SoD_Conflict_Matrix!$C$2:$C$7,MATCH(F145,SoD_Conflict_Matrix!$D$2:$D$7,0)),""))</f>
        <v>Wire Initiation</v>
      </c>
      <c r="S145" s="9" t="str">
        <f aca="false">IF(Q145="","No Conflict Rule Applies to This Role",IF(COUNTIFS(Access_Grants!$B$2:$B$175,B145,Access_Grants!$F$2:$F$175,Q145,Access_Grants!$L$2:$L$175,"Active")&gt;0,"EXCEPTION: SoD CONFLICT - ALSO HOLDS "&amp;R145,"OK - No Conflicting Role Held"))</f>
        <v>EXCEPTION: SoD CONFLICT - ALSO HOLDS Wire Initiation</v>
      </c>
      <c r="T145" s="9" t="str">
        <f aca="false">IF(AND(H145="Admin",I145="Active"),IF(COUNTIFS(Recertifications!$B$2:$B$119,B145,Recertifications!$E$2:$E$119,F145,Recertifications!$K$2:$K$119,"&lt;&gt;")&gt;0,"OK - Recertified","EXCEPTION: PRIVILEGED ACCESS NEVER RECERTIFIED"),"N/A - Not Privileged")</f>
        <v>EXCEPTION: PRIVILEGED ACCESS NEVER RECERTIFIED</v>
      </c>
      <c r="U145" s="9" t="str">
        <f aca="false">IF(OR(LEFT(M145,9)="EXCEPTION",LEFT(P145,9)="EXCEPTION",LEFT(S145,9)="EXCEPTION",LEFT(T145,9)="EXCEPTION"),"EXCEPTION","Clean")</f>
        <v>EXCEPTION</v>
      </c>
      <c r="V145" s="9" t="str">
        <f aca="false">IF(LEFT(M145,9)="EXCEPTION","Deprovisioning Control Gap",IF(LEFT(S145,9)="EXCEPTION","Segregation of Duties Conflict",IF(LEFT(P145,9)="EXCEPTION","Provisioning Approval Gap",IF(LEFT(T145,9)="EXCEPTION","Recertification Gap","N/A"))))</f>
        <v>Segregation of Duties Conflict</v>
      </c>
    </row>
    <row r="146" customFormat="false" ht="15" hidden="false" customHeight="true" outlineLevel="0" collapsed="false">
      <c r="A146" s="9" t="str">
        <f aca="false">Access_Grants!A146</f>
        <v>AG-0145</v>
      </c>
      <c r="B146" s="9" t="str">
        <f aca="false">Access_Grants!B146</f>
        <v>E043</v>
      </c>
      <c r="C146" s="9" t="str">
        <f aca="false">Access_Grants!C146</f>
        <v>Emma Lopez</v>
      </c>
      <c r="D146" s="9" t="str">
        <f aca="false">Access_Grants!D146</f>
        <v>Finance</v>
      </c>
      <c r="E146" s="9" t="str">
        <f aca="false">Access_Grants!E146</f>
        <v>SYS-ERP</v>
      </c>
      <c r="F146" s="9" t="str">
        <f aca="false">Access_Grants!F146</f>
        <v>R05</v>
      </c>
      <c r="G146" s="9" t="str">
        <f aca="false">Access_Grants!G146</f>
        <v>GL Journal Approval</v>
      </c>
      <c r="H146" s="9" t="str">
        <f aca="false">Access_Grants!H146</f>
        <v>Admin</v>
      </c>
      <c r="I146" s="9" t="str">
        <f aca="false">Access_Grants!L146</f>
        <v>Active</v>
      </c>
      <c r="J146" s="10" t="n">
        <f aca="false">Access_Grants!I146</f>
        <v>45115</v>
      </c>
      <c r="K146" s="10" t="n">
        <f aca="false">IFERROR(INDEX(HR_Employees!$F$2:$F$51,MATCH(B146,HR_Employees!$A$2:$A$51,0)),"")</f>
        <v>0</v>
      </c>
      <c r="L146" s="10" t="str">
        <f aca="false">IF(Access_Grants!M146="","",Access_Grants!M146)</f>
        <v/>
      </c>
      <c r="M146" s="9" t="str">
        <f aca="false">IF(K146="","N/A - Active Employee",IF(OR(I146="Active",AND(L146&lt;&gt;"",L146&gt;K146+5)),"EXCEPTION: TERMINATED USER - ACCESS NOT REVOKED TIMELY","OK - Revoked Within SLA"))</f>
        <v>N/A - Active Employee</v>
      </c>
      <c r="N146" s="9" t="str">
        <f aca="false">Access_Grants!J146&amp;""</f>
        <v>MGR-02</v>
      </c>
      <c r="O146" s="9" t="str">
        <f aca="false">Access_Grants!K146&amp;""</f>
        <v>CHG-46512</v>
      </c>
      <c r="P146" s="9" t="str">
        <f aca="false">IF(OR(TRIM(N146)="",TRIM(O146)=""),"EXCEPTION: NO DOCUMENTED APPROVAL","OK - Approved")</f>
        <v>OK - Approved</v>
      </c>
      <c r="Q146" s="9" t="str">
        <f aca="false">IFERROR(INDEX(SoD_Conflict_Matrix!$D$2:$D$7,MATCH(F146,SoD_Conflict_Matrix!$B$2:$B$7,0)),IFERROR(INDEX(SoD_Conflict_Matrix!$B$2:$B$7,MATCH(F146,SoD_Conflict_Matrix!$D$2:$D$7,0)),""))</f>
        <v>R04</v>
      </c>
      <c r="R146" s="9" t="str">
        <f aca="false">IFERROR(INDEX(SoD_Conflict_Matrix!$E$2:$E$7,MATCH(F146,SoD_Conflict_Matrix!$B$2:$B$7,0)),IFERROR(INDEX(SoD_Conflict_Matrix!$C$2:$C$7,MATCH(F146,SoD_Conflict_Matrix!$D$2:$D$7,0)),""))</f>
        <v>GL Journal Posting</v>
      </c>
      <c r="S146" s="9" t="str">
        <f aca="false">IF(Q146="","No Conflict Rule Applies to This Role",IF(COUNTIFS(Access_Grants!$B$2:$B$175,B146,Access_Grants!$F$2:$F$175,Q146,Access_Grants!$L$2:$L$175,"Active")&gt;0,"EXCEPTION: SoD CONFLICT - ALSO HOLDS "&amp;R146,"OK - No Conflicting Role Held"))</f>
        <v>OK - No Conflicting Role Held</v>
      </c>
      <c r="T146" s="9" t="str">
        <f aca="false">IF(AND(H146="Admin",I146="Active"),IF(COUNTIFS(Recertifications!$B$2:$B$119,B146,Recertifications!$E$2:$E$119,F146,Recertifications!$K$2:$K$119,"&lt;&gt;")&gt;0,"OK - Recertified","EXCEPTION: PRIVILEGED ACCESS NEVER RECERTIFIED"),"N/A - Not Privileged")</f>
        <v>EXCEPTION: PRIVILEGED ACCESS NEVER RECERTIFIED</v>
      </c>
      <c r="U146" s="9" t="str">
        <f aca="false">IF(OR(LEFT(M146,9)="EXCEPTION",LEFT(P146,9)="EXCEPTION",LEFT(S146,9)="EXCEPTION",LEFT(T146,9)="EXCEPTION"),"EXCEPTION","Clean")</f>
        <v>EXCEPTION</v>
      </c>
      <c r="V146" s="9" t="str">
        <f aca="false">IF(LEFT(M146,9)="EXCEPTION","Deprovisioning Control Gap",IF(LEFT(S146,9)="EXCEPTION","Segregation of Duties Conflict",IF(LEFT(P146,9)="EXCEPTION","Provisioning Approval Gap",IF(LEFT(T146,9)="EXCEPTION","Recertification Gap","N/A"))))</f>
        <v>Recertification Gap</v>
      </c>
    </row>
    <row r="147" customFormat="false" ht="15" hidden="false" customHeight="true" outlineLevel="0" collapsed="false">
      <c r="A147" s="9" t="str">
        <f aca="false">Access_Grants!A147</f>
        <v>AG-0146</v>
      </c>
      <c r="B147" s="9" t="str">
        <f aca="false">Access_Grants!B147</f>
        <v>E043</v>
      </c>
      <c r="C147" s="9" t="str">
        <f aca="false">Access_Grants!C147</f>
        <v>Emma Lopez</v>
      </c>
      <c r="D147" s="9" t="str">
        <f aca="false">Access_Grants!D147</f>
        <v>Finance</v>
      </c>
      <c r="E147" s="9" t="str">
        <f aca="false">Access_Grants!E147</f>
        <v>SYS-ERP</v>
      </c>
      <c r="F147" s="9" t="str">
        <f aca="false">Access_Grants!F147</f>
        <v>R01</v>
      </c>
      <c r="G147" s="9" t="str">
        <f aca="false">Access_Grants!G147</f>
        <v>AP Invoice Entry</v>
      </c>
      <c r="H147" s="9" t="str">
        <f aca="false">Access_Grants!H147</f>
        <v>Write</v>
      </c>
      <c r="I147" s="9" t="str">
        <f aca="false">Access_Grants!L147</f>
        <v>Active</v>
      </c>
      <c r="J147" s="10" t="n">
        <f aca="false">Access_Grants!I147</f>
        <v>45214</v>
      </c>
      <c r="K147" s="10" t="n">
        <f aca="false">IFERROR(INDEX(HR_Employees!$F$2:$F$51,MATCH(B147,HR_Employees!$A$2:$A$51,0)),"")</f>
        <v>0</v>
      </c>
      <c r="L147" s="10" t="str">
        <f aca="false">IF(Access_Grants!M147="","",Access_Grants!M147)</f>
        <v/>
      </c>
      <c r="M147" s="9" t="str">
        <f aca="false">IF(K147="","N/A - Active Employee",IF(OR(I147="Active",AND(L147&lt;&gt;"",L147&gt;K147+5)),"EXCEPTION: TERMINATED USER - ACCESS NOT REVOKED TIMELY","OK - Revoked Within SLA"))</f>
        <v>N/A - Active Employee</v>
      </c>
      <c r="N147" s="9" t="str">
        <f aca="false">Access_Grants!J147&amp;""</f>
        <v>MGR-10</v>
      </c>
      <c r="O147" s="9" t="str">
        <f aca="false">Access_Grants!K147&amp;""</f>
        <v>CHG-90422</v>
      </c>
      <c r="P147" s="9" t="str">
        <f aca="false">IF(OR(TRIM(N147)="",TRIM(O147)=""),"EXCEPTION: NO DOCUMENTED APPROVAL","OK - Approved")</f>
        <v>OK - Approved</v>
      </c>
      <c r="Q147" s="9" t="str">
        <f aca="false">IFERROR(INDEX(SoD_Conflict_Matrix!$D$2:$D$7,MATCH(F147,SoD_Conflict_Matrix!$B$2:$B$7,0)),IFERROR(INDEX(SoD_Conflict_Matrix!$B$2:$B$7,MATCH(F147,SoD_Conflict_Matrix!$D$2:$D$7,0)),""))</f>
        <v>R02</v>
      </c>
      <c r="R147" s="9" t="str">
        <f aca="false">IFERROR(INDEX(SoD_Conflict_Matrix!$E$2:$E$7,MATCH(F147,SoD_Conflict_Matrix!$B$2:$B$7,0)),IFERROR(INDEX(SoD_Conflict_Matrix!$C$2:$C$7,MATCH(F147,SoD_Conflict_Matrix!$D$2:$D$7,0)),""))</f>
        <v>AP Payment Approval</v>
      </c>
      <c r="S147" s="9" t="str">
        <f aca="false">IF(Q147="","No Conflict Rule Applies to This Role",IF(COUNTIFS(Access_Grants!$B$2:$B$175,B147,Access_Grants!$F$2:$F$175,Q147,Access_Grants!$L$2:$L$175,"Active")&gt;0,"EXCEPTION: SoD CONFLICT - ALSO HOLDS "&amp;R147,"OK - No Conflicting Role Held"))</f>
        <v>OK - No Conflicting Role Held</v>
      </c>
      <c r="T147" s="9" t="str">
        <f aca="false">IF(AND(H147="Admin",I147="Active"),IF(COUNTIFS(Recertifications!$B$2:$B$119,B147,Recertifications!$E$2:$E$119,F147,Recertifications!$K$2:$K$119,"&lt;&gt;")&gt;0,"OK - Recertified","EXCEPTION: PRIVILEGED ACCESS NEVER RECERTIFIED"),"N/A - Not Privileged")</f>
        <v>N/A - Not Privileged</v>
      </c>
      <c r="U147" s="9" t="str">
        <f aca="false">IF(OR(LEFT(M147,9)="EXCEPTION",LEFT(P147,9)="EXCEPTION",LEFT(S147,9)="EXCEPTION",LEFT(T147,9)="EXCEPTION"),"EXCEPTION","Clean")</f>
        <v>Clean</v>
      </c>
      <c r="V147" s="9" t="str">
        <f aca="false">IF(LEFT(M147,9)="EXCEPTION","Deprovisioning Control Gap",IF(LEFT(S147,9)="EXCEPTION","Segregation of Duties Conflict",IF(LEFT(P147,9)="EXCEPTION","Provisioning Approval Gap",IF(LEFT(T147,9)="EXCEPTION","Recertification Gap","N/A"))))</f>
        <v>N/A</v>
      </c>
    </row>
    <row r="148" customFormat="false" ht="15" hidden="false" customHeight="true" outlineLevel="0" collapsed="false">
      <c r="A148" s="9" t="str">
        <f aca="false">Access_Grants!A148</f>
        <v>AG-0147</v>
      </c>
      <c r="B148" s="9" t="str">
        <f aca="false">Access_Grants!B148</f>
        <v>E043</v>
      </c>
      <c r="C148" s="9" t="str">
        <f aca="false">Access_Grants!C148</f>
        <v>Emma Lopez</v>
      </c>
      <c r="D148" s="9" t="str">
        <f aca="false">Access_Grants!D148</f>
        <v>Finance</v>
      </c>
      <c r="E148" s="9" t="str">
        <f aca="false">Access_Grants!E148</f>
        <v>SYS-HRIS</v>
      </c>
      <c r="F148" s="9" t="str">
        <f aca="false">Access_Grants!F148</f>
        <v>R08</v>
      </c>
      <c r="G148" s="9" t="str">
        <f aca="false">Access_Grants!G148</f>
        <v>Employee Master Read-Only</v>
      </c>
      <c r="H148" s="9" t="str">
        <f aca="false">Access_Grants!H148</f>
        <v>Read</v>
      </c>
      <c r="I148" s="9" t="str">
        <f aca="false">Access_Grants!L148</f>
        <v>Active</v>
      </c>
      <c r="J148" s="10" t="n">
        <f aca="false">Access_Grants!I148</f>
        <v>45238</v>
      </c>
      <c r="K148" s="10" t="n">
        <f aca="false">IFERROR(INDEX(HR_Employees!$F$2:$F$51,MATCH(B148,HR_Employees!$A$2:$A$51,0)),"")</f>
        <v>0</v>
      </c>
      <c r="L148" s="10" t="str">
        <f aca="false">IF(Access_Grants!M148="","",Access_Grants!M148)</f>
        <v/>
      </c>
      <c r="M148" s="9" t="str">
        <f aca="false">IF(K148="","N/A - Active Employee",IF(OR(I148="Active",AND(L148&lt;&gt;"",L148&gt;K148+5)),"EXCEPTION: TERMINATED USER - ACCESS NOT REVOKED TIMELY","OK - Revoked Within SLA"))</f>
        <v>N/A - Active Employee</v>
      </c>
      <c r="N148" s="9" t="str">
        <f aca="false">Access_Grants!J148&amp;""</f>
        <v/>
      </c>
      <c r="O148" s="9" t="str">
        <f aca="false">Access_Grants!K148&amp;""</f>
        <v>CHG-45054</v>
      </c>
      <c r="P148" s="9" t="str">
        <f aca="false">IF(OR(TRIM(N148)="",TRIM(O148)=""),"EXCEPTION: NO DOCUMENTED APPROVAL","OK - Approved")</f>
        <v>EXCEPTION: NO DOCUMENTED APPROVAL</v>
      </c>
      <c r="Q148" s="9" t="str">
        <f aca="false">IFERROR(INDEX(SoD_Conflict_Matrix!$D$2:$D$7,MATCH(F148,SoD_Conflict_Matrix!$B$2:$B$7,0)),IFERROR(INDEX(SoD_Conflict_Matrix!$B$2:$B$7,MATCH(F148,SoD_Conflict_Matrix!$D$2:$D$7,0)),""))</f>
        <v/>
      </c>
      <c r="R148" s="9" t="str">
        <f aca="false">IFERROR(INDEX(SoD_Conflict_Matrix!$E$2:$E$7,MATCH(F148,SoD_Conflict_Matrix!$B$2:$B$7,0)),IFERROR(INDEX(SoD_Conflict_Matrix!$C$2:$C$7,MATCH(F148,SoD_Conflict_Matrix!$D$2:$D$7,0)),""))</f>
        <v/>
      </c>
      <c r="S148" s="9" t="str">
        <f aca="false">IF(Q148="","No Conflict Rule Applies to This Role",IF(COUNTIFS(Access_Grants!$B$2:$B$175,B148,Access_Grants!$F$2:$F$175,Q148,Access_Grants!$L$2:$L$175,"Active")&gt;0,"EXCEPTION: SoD CONFLICT - ALSO HOLDS "&amp;R148,"OK - No Conflicting Role Held"))</f>
        <v>No Conflict Rule Applies to This Role</v>
      </c>
      <c r="T148" s="9" t="str">
        <f aca="false">IF(AND(H148="Admin",I148="Active"),IF(COUNTIFS(Recertifications!$B$2:$B$119,B148,Recertifications!$E$2:$E$119,F148,Recertifications!$K$2:$K$119,"&lt;&gt;")&gt;0,"OK - Recertified","EXCEPTION: PRIVILEGED ACCESS NEVER RECERTIFIED"),"N/A - Not Privileged")</f>
        <v>N/A - Not Privileged</v>
      </c>
      <c r="U148" s="9" t="str">
        <f aca="false">IF(OR(LEFT(M148,9)="EXCEPTION",LEFT(P148,9)="EXCEPTION",LEFT(S148,9)="EXCEPTION",LEFT(T148,9)="EXCEPTION"),"EXCEPTION","Clean")</f>
        <v>EXCEPTION</v>
      </c>
      <c r="V148" s="9" t="str">
        <f aca="false">IF(LEFT(M148,9)="EXCEPTION","Deprovisioning Control Gap",IF(LEFT(S148,9)="EXCEPTION","Segregation of Duties Conflict",IF(LEFT(P148,9)="EXCEPTION","Provisioning Approval Gap",IF(LEFT(T148,9)="EXCEPTION","Recertification Gap","N/A"))))</f>
        <v>Provisioning Approval Gap</v>
      </c>
    </row>
    <row r="149" customFormat="false" ht="15" hidden="false" customHeight="true" outlineLevel="0" collapsed="false">
      <c r="A149" s="9" t="str">
        <f aca="false">Access_Grants!A149</f>
        <v>AG-0148</v>
      </c>
      <c r="B149" s="9" t="str">
        <f aca="false">Access_Grants!B149</f>
        <v>E044</v>
      </c>
      <c r="C149" s="9" t="str">
        <f aca="false">Access_Grants!C149</f>
        <v>Hana Andersson</v>
      </c>
      <c r="D149" s="9" t="str">
        <f aca="false">Access_Grants!D149</f>
        <v>IT Operations</v>
      </c>
      <c r="E149" s="9" t="str">
        <f aca="false">Access_Grants!E149</f>
        <v>SYS-HRIS</v>
      </c>
      <c r="F149" s="9" t="str">
        <f aca="false">Access_Grants!F149</f>
        <v>R08</v>
      </c>
      <c r="G149" s="9" t="str">
        <f aca="false">Access_Grants!G149</f>
        <v>Employee Master Read-Only</v>
      </c>
      <c r="H149" s="9" t="str">
        <f aca="false">Access_Grants!H149</f>
        <v>Read</v>
      </c>
      <c r="I149" s="9" t="str">
        <f aca="false">Access_Grants!L149</f>
        <v>Active</v>
      </c>
      <c r="J149" s="10" t="n">
        <f aca="false">Access_Grants!I149</f>
        <v>45506</v>
      </c>
      <c r="K149" s="10" t="n">
        <f aca="false">IFERROR(INDEX(HR_Employees!$F$2:$F$51,MATCH(B149,HR_Employees!$A$2:$A$51,0)),"")</f>
        <v>0</v>
      </c>
      <c r="L149" s="10" t="str">
        <f aca="false">IF(Access_Grants!M149="","",Access_Grants!M149)</f>
        <v/>
      </c>
      <c r="M149" s="9" t="str">
        <f aca="false">IF(K149="","N/A - Active Employee",IF(OR(I149="Active",AND(L149&lt;&gt;"",L149&gt;K149+5)),"EXCEPTION: TERMINATED USER - ACCESS NOT REVOKED TIMELY","OK - Revoked Within SLA"))</f>
        <v>N/A - Active Employee</v>
      </c>
      <c r="N149" s="9" t="str">
        <f aca="false">Access_Grants!J149&amp;""</f>
        <v>System Auto-Provision</v>
      </c>
      <c r="O149" s="9" t="str">
        <f aca="false">Access_Grants!K149&amp;""</f>
        <v/>
      </c>
      <c r="P149" s="9" t="str">
        <f aca="false">IF(OR(TRIM(N149)="",TRIM(O149)=""),"EXCEPTION: NO DOCUMENTED APPROVAL","OK - Approved")</f>
        <v>EXCEPTION: NO DOCUMENTED APPROVAL</v>
      </c>
      <c r="Q149" s="9" t="str">
        <f aca="false">IFERROR(INDEX(SoD_Conflict_Matrix!$D$2:$D$7,MATCH(F149,SoD_Conflict_Matrix!$B$2:$B$7,0)),IFERROR(INDEX(SoD_Conflict_Matrix!$B$2:$B$7,MATCH(F149,SoD_Conflict_Matrix!$D$2:$D$7,0)),""))</f>
        <v/>
      </c>
      <c r="R149" s="9" t="str">
        <f aca="false">IFERROR(INDEX(SoD_Conflict_Matrix!$E$2:$E$7,MATCH(F149,SoD_Conflict_Matrix!$B$2:$B$7,0)),IFERROR(INDEX(SoD_Conflict_Matrix!$C$2:$C$7,MATCH(F149,SoD_Conflict_Matrix!$D$2:$D$7,0)),""))</f>
        <v/>
      </c>
      <c r="S149" s="9" t="str">
        <f aca="false">IF(Q149="","No Conflict Rule Applies to This Role",IF(COUNTIFS(Access_Grants!$B$2:$B$175,B149,Access_Grants!$F$2:$F$175,Q149,Access_Grants!$L$2:$L$175,"Active")&gt;0,"EXCEPTION: SoD CONFLICT - ALSO HOLDS "&amp;R149,"OK - No Conflicting Role Held"))</f>
        <v>No Conflict Rule Applies to This Role</v>
      </c>
      <c r="T149" s="9" t="str">
        <f aca="false">IF(AND(H149="Admin",I149="Active"),IF(COUNTIFS(Recertifications!$B$2:$B$119,B149,Recertifications!$E$2:$E$119,F149,Recertifications!$K$2:$K$119,"&lt;&gt;")&gt;0,"OK - Recertified","EXCEPTION: PRIVILEGED ACCESS NEVER RECERTIFIED"),"N/A - Not Privileged")</f>
        <v>N/A - Not Privileged</v>
      </c>
      <c r="U149" s="9" t="str">
        <f aca="false">IF(OR(LEFT(M149,9)="EXCEPTION",LEFT(P149,9)="EXCEPTION",LEFT(S149,9)="EXCEPTION",LEFT(T149,9)="EXCEPTION"),"EXCEPTION","Clean")</f>
        <v>EXCEPTION</v>
      </c>
      <c r="V149" s="9" t="str">
        <f aca="false">IF(LEFT(M149,9)="EXCEPTION","Deprovisioning Control Gap",IF(LEFT(S149,9)="EXCEPTION","Segregation of Duties Conflict",IF(LEFT(P149,9)="EXCEPTION","Provisioning Approval Gap",IF(LEFT(T149,9)="EXCEPTION","Recertification Gap","N/A"))))</f>
        <v>Provisioning Approval Gap</v>
      </c>
    </row>
    <row r="150" customFormat="false" ht="15" hidden="false" customHeight="true" outlineLevel="0" collapsed="false">
      <c r="A150" s="9" t="str">
        <f aca="false">Access_Grants!A150</f>
        <v>AG-0149</v>
      </c>
      <c r="B150" s="9" t="str">
        <f aca="false">Access_Grants!B150</f>
        <v>E044</v>
      </c>
      <c r="C150" s="9" t="str">
        <f aca="false">Access_Grants!C150</f>
        <v>Hana Andersson</v>
      </c>
      <c r="D150" s="9" t="str">
        <f aca="false">Access_Grants!D150</f>
        <v>IT Operations</v>
      </c>
      <c r="E150" s="9" t="str">
        <f aca="false">Access_Grants!E150</f>
        <v>SYS-AD</v>
      </c>
      <c r="F150" s="9" t="str">
        <f aca="false">Access_Grants!F150</f>
        <v>R10</v>
      </c>
      <c r="G150" s="9" t="str">
        <f aca="false">Access_Grants!G150</f>
        <v>Domain Administrator</v>
      </c>
      <c r="H150" s="9" t="str">
        <f aca="false">Access_Grants!H150</f>
        <v>Admin</v>
      </c>
      <c r="I150" s="9" t="str">
        <f aca="false">Access_Grants!L150</f>
        <v>Active</v>
      </c>
      <c r="J150" s="10" t="n">
        <f aca="false">Access_Grants!I150</f>
        <v>45020</v>
      </c>
      <c r="K150" s="10" t="n">
        <f aca="false">IFERROR(INDEX(HR_Employees!$F$2:$F$51,MATCH(B150,HR_Employees!$A$2:$A$51,0)),"")</f>
        <v>0</v>
      </c>
      <c r="L150" s="10" t="str">
        <f aca="false">IF(Access_Grants!M150="","",Access_Grants!M150)</f>
        <v/>
      </c>
      <c r="M150" s="9" t="str">
        <f aca="false">IF(K150="","N/A - Active Employee",IF(OR(I150="Active",AND(L150&lt;&gt;"",L150&gt;K150+5)),"EXCEPTION: TERMINATED USER - ACCESS NOT REVOKED TIMELY","OK - Revoked Within SLA"))</f>
        <v>N/A - Active Employee</v>
      </c>
      <c r="N150" s="9" t="str">
        <f aca="false">Access_Grants!J150&amp;""</f>
        <v>MGR-09</v>
      </c>
      <c r="O150" s="9" t="str">
        <f aca="false">Access_Grants!K150&amp;""</f>
        <v>CHG-38197</v>
      </c>
      <c r="P150" s="9" t="str">
        <f aca="false">IF(OR(TRIM(N150)="",TRIM(O150)=""),"EXCEPTION: NO DOCUMENTED APPROVAL","OK - Approved")</f>
        <v>OK - Approved</v>
      </c>
      <c r="Q150" s="9" t="str">
        <f aca="false">IFERROR(INDEX(SoD_Conflict_Matrix!$D$2:$D$7,MATCH(F150,SoD_Conflict_Matrix!$B$2:$B$7,0)),IFERROR(INDEX(SoD_Conflict_Matrix!$B$2:$B$7,MATCH(F150,SoD_Conflict_Matrix!$D$2:$D$7,0)),""))</f>
        <v/>
      </c>
      <c r="R150" s="9" t="str">
        <f aca="false">IFERROR(INDEX(SoD_Conflict_Matrix!$E$2:$E$7,MATCH(F150,SoD_Conflict_Matrix!$B$2:$B$7,0)),IFERROR(INDEX(SoD_Conflict_Matrix!$C$2:$C$7,MATCH(F150,SoD_Conflict_Matrix!$D$2:$D$7,0)),""))</f>
        <v/>
      </c>
      <c r="S150" s="9" t="str">
        <f aca="false">IF(Q150="","No Conflict Rule Applies to This Role",IF(COUNTIFS(Access_Grants!$B$2:$B$175,B150,Access_Grants!$F$2:$F$175,Q150,Access_Grants!$L$2:$L$175,"Active")&gt;0,"EXCEPTION: SoD CONFLICT - ALSO HOLDS "&amp;R150,"OK - No Conflicting Role Held"))</f>
        <v>No Conflict Rule Applies to This Role</v>
      </c>
      <c r="T150" s="9" t="str">
        <f aca="false">IF(AND(H150="Admin",I150="Active"),IF(COUNTIFS(Recertifications!$B$2:$B$119,B150,Recertifications!$E$2:$E$119,F150,Recertifications!$K$2:$K$119,"&lt;&gt;")&gt;0,"OK - Recertified","EXCEPTION: PRIVILEGED ACCESS NEVER RECERTIFIED"),"N/A - Not Privileged")</f>
        <v>OK - Recertified</v>
      </c>
      <c r="U150" s="9" t="str">
        <f aca="false">IF(OR(LEFT(M150,9)="EXCEPTION",LEFT(P150,9)="EXCEPTION",LEFT(S150,9)="EXCEPTION",LEFT(T150,9)="EXCEPTION"),"EXCEPTION","Clean")</f>
        <v>Clean</v>
      </c>
      <c r="V150" s="9" t="str">
        <f aca="false">IF(LEFT(M150,9)="EXCEPTION","Deprovisioning Control Gap",IF(LEFT(S150,9)="EXCEPTION","Segregation of Duties Conflict",IF(LEFT(P150,9)="EXCEPTION","Provisioning Approval Gap",IF(LEFT(T150,9)="EXCEPTION","Recertification Gap","N/A"))))</f>
        <v>N/A</v>
      </c>
    </row>
    <row r="151" customFormat="false" ht="15" hidden="false" customHeight="true" outlineLevel="0" collapsed="false">
      <c r="A151" s="9" t="str">
        <f aca="false">Access_Grants!A151</f>
        <v>AG-0150</v>
      </c>
      <c r="B151" s="9" t="str">
        <f aca="false">Access_Grants!B151</f>
        <v>E044</v>
      </c>
      <c r="C151" s="9" t="str">
        <f aca="false">Access_Grants!C151</f>
        <v>Hana Andersson</v>
      </c>
      <c r="D151" s="9" t="str">
        <f aca="false">Access_Grants!D151</f>
        <v>IT Operations</v>
      </c>
      <c r="E151" s="9" t="str">
        <f aca="false">Access_Grants!E151</f>
        <v>SYS-AD</v>
      </c>
      <c r="F151" s="9" t="str">
        <f aca="false">Access_Grants!F151</f>
        <v>R09</v>
      </c>
      <c r="G151" s="9" t="str">
        <f aca="false">Access_Grants!G151</f>
        <v>Standard Network User</v>
      </c>
      <c r="H151" s="9" t="str">
        <f aca="false">Access_Grants!H151</f>
        <v>Read</v>
      </c>
      <c r="I151" s="9" t="str">
        <f aca="false">Access_Grants!L151</f>
        <v>Active</v>
      </c>
      <c r="J151" s="10" t="n">
        <f aca="false">Access_Grants!I151</f>
        <v>45088</v>
      </c>
      <c r="K151" s="10" t="n">
        <f aca="false">IFERROR(INDEX(HR_Employees!$F$2:$F$51,MATCH(B151,HR_Employees!$A$2:$A$51,0)),"")</f>
        <v>0</v>
      </c>
      <c r="L151" s="10" t="str">
        <f aca="false">IF(Access_Grants!M151="","",Access_Grants!M151)</f>
        <v/>
      </c>
      <c r="M151" s="9" t="str">
        <f aca="false">IF(K151="","N/A - Active Employee",IF(OR(I151="Active",AND(L151&lt;&gt;"",L151&gt;K151+5)),"EXCEPTION: TERMINATED USER - ACCESS NOT REVOKED TIMELY","OK - Revoked Within SLA"))</f>
        <v>N/A - Active Employee</v>
      </c>
      <c r="N151" s="9" t="str">
        <f aca="false">Access_Grants!J151&amp;""</f>
        <v>MGR-06</v>
      </c>
      <c r="O151" s="9" t="str">
        <f aca="false">Access_Grants!K151&amp;""</f>
        <v>CHG-50846</v>
      </c>
      <c r="P151" s="9" t="str">
        <f aca="false">IF(OR(TRIM(N151)="",TRIM(O151)=""),"EXCEPTION: NO DOCUMENTED APPROVAL","OK - Approved")</f>
        <v>OK - Approved</v>
      </c>
      <c r="Q151" s="9" t="str">
        <f aca="false">IFERROR(INDEX(SoD_Conflict_Matrix!$D$2:$D$7,MATCH(F151,SoD_Conflict_Matrix!$B$2:$B$7,0)),IFERROR(INDEX(SoD_Conflict_Matrix!$B$2:$B$7,MATCH(F151,SoD_Conflict_Matrix!$D$2:$D$7,0)),""))</f>
        <v/>
      </c>
      <c r="R151" s="9" t="str">
        <f aca="false">IFERROR(INDEX(SoD_Conflict_Matrix!$E$2:$E$7,MATCH(F151,SoD_Conflict_Matrix!$B$2:$B$7,0)),IFERROR(INDEX(SoD_Conflict_Matrix!$C$2:$C$7,MATCH(F151,SoD_Conflict_Matrix!$D$2:$D$7,0)),""))</f>
        <v/>
      </c>
      <c r="S151" s="9" t="str">
        <f aca="false">IF(Q151="","No Conflict Rule Applies to This Role",IF(COUNTIFS(Access_Grants!$B$2:$B$175,B151,Access_Grants!$F$2:$F$175,Q151,Access_Grants!$L$2:$L$175,"Active")&gt;0,"EXCEPTION: SoD CONFLICT - ALSO HOLDS "&amp;R151,"OK - No Conflicting Role Held"))</f>
        <v>No Conflict Rule Applies to This Role</v>
      </c>
      <c r="T151" s="9" t="str">
        <f aca="false">IF(AND(H151="Admin",I151="Active"),IF(COUNTIFS(Recertifications!$B$2:$B$119,B151,Recertifications!$E$2:$E$119,F151,Recertifications!$K$2:$K$119,"&lt;&gt;")&gt;0,"OK - Recertified","EXCEPTION: PRIVILEGED ACCESS NEVER RECERTIFIED"),"N/A - Not Privileged")</f>
        <v>N/A - Not Privileged</v>
      </c>
      <c r="U151" s="9" t="str">
        <f aca="false">IF(OR(LEFT(M151,9)="EXCEPTION",LEFT(P151,9)="EXCEPTION",LEFT(S151,9)="EXCEPTION",LEFT(T151,9)="EXCEPTION"),"EXCEPTION","Clean")</f>
        <v>Clean</v>
      </c>
      <c r="V151" s="9" t="str">
        <f aca="false">IF(LEFT(M151,9)="EXCEPTION","Deprovisioning Control Gap",IF(LEFT(S151,9)="EXCEPTION","Segregation of Duties Conflict",IF(LEFT(P151,9)="EXCEPTION","Provisioning Approval Gap",IF(LEFT(T151,9)="EXCEPTION","Recertification Gap","N/A"))))</f>
        <v>N/A</v>
      </c>
    </row>
    <row r="152" customFormat="false" ht="15" hidden="false" customHeight="true" outlineLevel="0" collapsed="false">
      <c r="A152" s="9" t="str">
        <f aca="false">Access_Grants!A152</f>
        <v>AG-0151</v>
      </c>
      <c r="B152" s="9" t="str">
        <f aca="false">Access_Grants!B152</f>
        <v>E045</v>
      </c>
      <c r="C152" s="9" t="str">
        <f aca="false">Access_Grants!C152</f>
        <v>Tariq Santos</v>
      </c>
      <c r="D152" s="9" t="str">
        <f aca="false">Access_Grants!D152</f>
        <v>Payroll</v>
      </c>
      <c r="E152" s="9" t="str">
        <f aca="false">Access_Grants!E152</f>
        <v>SYS-HRIS</v>
      </c>
      <c r="F152" s="9" t="str">
        <f aca="false">Access_Grants!F152</f>
        <v>R06</v>
      </c>
      <c r="G152" s="9" t="str">
        <f aca="false">Access_Grants!G152</f>
        <v>Payroll Data Entry</v>
      </c>
      <c r="H152" s="9" t="str">
        <f aca="false">Access_Grants!H152</f>
        <v>Write</v>
      </c>
      <c r="I152" s="9" t="str">
        <f aca="false">Access_Grants!L152</f>
        <v>Active</v>
      </c>
      <c r="J152" s="10" t="n">
        <f aca="false">Access_Grants!I152</f>
        <v>45028</v>
      </c>
      <c r="K152" s="10" t="n">
        <f aca="false">IFERROR(INDEX(HR_Employees!$F$2:$F$51,MATCH(B152,HR_Employees!$A$2:$A$51,0)),"")</f>
        <v>0</v>
      </c>
      <c r="L152" s="10" t="str">
        <f aca="false">IF(Access_Grants!M152="","",Access_Grants!M152)</f>
        <v/>
      </c>
      <c r="M152" s="9" t="str">
        <f aca="false">IF(K152="","N/A - Active Employee",IF(OR(I152="Active",AND(L152&lt;&gt;"",L152&gt;K152+5)),"EXCEPTION: TERMINATED USER - ACCESS NOT REVOKED TIMELY","OK - Revoked Within SLA"))</f>
        <v>N/A - Active Employee</v>
      </c>
      <c r="N152" s="9" t="str">
        <f aca="false">Access_Grants!J152&amp;""</f>
        <v>System Auto-Provision</v>
      </c>
      <c r="O152" s="9" t="str">
        <f aca="false">Access_Grants!K152&amp;""</f>
        <v>CHG-20693</v>
      </c>
      <c r="P152" s="9" t="str">
        <f aca="false">IF(OR(TRIM(N152)="",TRIM(O152)=""),"EXCEPTION: NO DOCUMENTED APPROVAL","OK - Approved")</f>
        <v>OK - Approved</v>
      </c>
      <c r="Q152" s="9" t="str">
        <f aca="false">IFERROR(INDEX(SoD_Conflict_Matrix!$D$2:$D$7,MATCH(F152,SoD_Conflict_Matrix!$B$2:$B$7,0)),IFERROR(INDEX(SoD_Conflict_Matrix!$B$2:$B$7,MATCH(F152,SoD_Conflict_Matrix!$D$2:$D$7,0)),""))</f>
        <v>R07</v>
      </c>
      <c r="R152" s="9" t="str">
        <f aca="false">IFERROR(INDEX(SoD_Conflict_Matrix!$E$2:$E$7,MATCH(F152,SoD_Conflict_Matrix!$B$2:$B$7,0)),IFERROR(INDEX(SoD_Conflict_Matrix!$C$2:$C$7,MATCH(F152,SoD_Conflict_Matrix!$D$2:$D$7,0)),""))</f>
        <v>Payroll Approval / Release</v>
      </c>
      <c r="S152" s="9" t="str">
        <f aca="false">IF(Q152="","No Conflict Rule Applies to This Role",IF(COUNTIFS(Access_Grants!$B$2:$B$175,B152,Access_Grants!$F$2:$F$175,Q152,Access_Grants!$L$2:$L$175,"Active")&gt;0,"EXCEPTION: SoD CONFLICT - ALSO HOLDS "&amp;R152,"OK - No Conflicting Role Held"))</f>
        <v>EXCEPTION: SoD CONFLICT - ALSO HOLDS Payroll Approval / Release</v>
      </c>
      <c r="T152" s="9" t="str">
        <f aca="false">IF(AND(H152="Admin",I152="Active"),IF(COUNTIFS(Recertifications!$B$2:$B$119,B152,Recertifications!$E$2:$E$119,F152,Recertifications!$K$2:$K$119,"&lt;&gt;")&gt;0,"OK - Recertified","EXCEPTION: PRIVILEGED ACCESS NEVER RECERTIFIED"),"N/A - Not Privileged")</f>
        <v>N/A - Not Privileged</v>
      </c>
      <c r="U152" s="9" t="str">
        <f aca="false">IF(OR(LEFT(M152,9)="EXCEPTION",LEFT(P152,9)="EXCEPTION",LEFT(S152,9)="EXCEPTION",LEFT(T152,9)="EXCEPTION"),"EXCEPTION","Clean")</f>
        <v>EXCEPTION</v>
      </c>
      <c r="V152" s="9" t="str">
        <f aca="false">IF(LEFT(M152,9)="EXCEPTION","Deprovisioning Control Gap",IF(LEFT(S152,9)="EXCEPTION","Segregation of Duties Conflict",IF(LEFT(P152,9)="EXCEPTION","Provisioning Approval Gap",IF(LEFT(T152,9)="EXCEPTION","Recertification Gap","N/A"))))</f>
        <v>Segregation of Duties Conflict</v>
      </c>
    </row>
    <row r="153" customFormat="false" ht="15" hidden="false" customHeight="true" outlineLevel="0" collapsed="false">
      <c r="A153" s="9" t="str">
        <f aca="false">Access_Grants!A153</f>
        <v>AG-0152</v>
      </c>
      <c r="B153" s="9" t="str">
        <f aca="false">Access_Grants!B153</f>
        <v>E045</v>
      </c>
      <c r="C153" s="9" t="str">
        <f aca="false">Access_Grants!C153</f>
        <v>Tariq Santos</v>
      </c>
      <c r="D153" s="9" t="str">
        <f aca="false">Access_Grants!D153</f>
        <v>Payroll</v>
      </c>
      <c r="E153" s="9" t="str">
        <f aca="false">Access_Grants!E153</f>
        <v>SYS-HRIS</v>
      </c>
      <c r="F153" s="9" t="str">
        <f aca="false">Access_Grants!F153</f>
        <v>R08</v>
      </c>
      <c r="G153" s="9" t="str">
        <f aca="false">Access_Grants!G153</f>
        <v>Employee Master Read-Only</v>
      </c>
      <c r="H153" s="9" t="str">
        <f aca="false">Access_Grants!H153</f>
        <v>Read</v>
      </c>
      <c r="I153" s="9" t="str">
        <f aca="false">Access_Grants!L153</f>
        <v>Active</v>
      </c>
      <c r="J153" s="10" t="n">
        <f aca="false">Access_Grants!I153</f>
        <v>45921</v>
      </c>
      <c r="K153" s="10" t="n">
        <f aca="false">IFERROR(INDEX(HR_Employees!$F$2:$F$51,MATCH(B153,HR_Employees!$A$2:$A$51,0)),"")</f>
        <v>0</v>
      </c>
      <c r="L153" s="10" t="str">
        <f aca="false">IF(Access_Grants!M153="","",Access_Grants!M153)</f>
        <v/>
      </c>
      <c r="M153" s="9" t="str">
        <f aca="false">IF(K153="","N/A - Active Employee",IF(OR(I153="Active",AND(L153&lt;&gt;"",L153&gt;K153+5)),"EXCEPTION: TERMINATED USER - ACCESS NOT REVOKED TIMELY","OK - Revoked Within SLA"))</f>
        <v>N/A - Active Employee</v>
      </c>
      <c r="N153" s="9" t="str">
        <f aca="false">Access_Grants!J153&amp;""</f>
        <v>MGR-10</v>
      </c>
      <c r="O153" s="9" t="str">
        <f aca="false">Access_Grants!K153&amp;""</f>
        <v>CHG-67939</v>
      </c>
      <c r="P153" s="9" t="str">
        <f aca="false">IF(OR(TRIM(N153)="",TRIM(O153)=""),"EXCEPTION: NO DOCUMENTED APPROVAL","OK - Approved")</f>
        <v>OK - Approved</v>
      </c>
      <c r="Q153" s="9" t="str">
        <f aca="false">IFERROR(INDEX(SoD_Conflict_Matrix!$D$2:$D$7,MATCH(F153,SoD_Conflict_Matrix!$B$2:$B$7,0)),IFERROR(INDEX(SoD_Conflict_Matrix!$B$2:$B$7,MATCH(F153,SoD_Conflict_Matrix!$D$2:$D$7,0)),""))</f>
        <v/>
      </c>
      <c r="R153" s="9" t="str">
        <f aca="false">IFERROR(INDEX(SoD_Conflict_Matrix!$E$2:$E$7,MATCH(F153,SoD_Conflict_Matrix!$B$2:$B$7,0)),IFERROR(INDEX(SoD_Conflict_Matrix!$C$2:$C$7,MATCH(F153,SoD_Conflict_Matrix!$D$2:$D$7,0)),""))</f>
        <v/>
      </c>
      <c r="S153" s="9" t="str">
        <f aca="false">IF(Q153="","No Conflict Rule Applies to This Role",IF(COUNTIFS(Access_Grants!$B$2:$B$175,B153,Access_Grants!$F$2:$F$175,Q153,Access_Grants!$L$2:$L$175,"Active")&gt;0,"EXCEPTION: SoD CONFLICT - ALSO HOLDS "&amp;R153,"OK - No Conflicting Role Held"))</f>
        <v>No Conflict Rule Applies to This Role</v>
      </c>
      <c r="T153" s="9" t="str">
        <f aca="false">IF(AND(H153="Admin",I153="Active"),IF(COUNTIFS(Recertifications!$B$2:$B$119,B153,Recertifications!$E$2:$E$119,F153,Recertifications!$K$2:$K$119,"&lt;&gt;")&gt;0,"OK - Recertified","EXCEPTION: PRIVILEGED ACCESS NEVER RECERTIFIED"),"N/A - Not Privileged")</f>
        <v>N/A - Not Privileged</v>
      </c>
      <c r="U153" s="9" t="str">
        <f aca="false">IF(OR(LEFT(M153,9)="EXCEPTION",LEFT(P153,9)="EXCEPTION",LEFT(S153,9)="EXCEPTION",LEFT(T153,9)="EXCEPTION"),"EXCEPTION","Clean")</f>
        <v>Clean</v>
      </c>
      <c r="V153" s="9" t="str">
        <f aca="false">IF(LEFT(M153,9)="EXCEPTION","Deprovisioning Control Gap",IF(LEFT(S153,9)="EXCEPTION","Segregation of Duties Conflict",IF(LEFT(P153,9)="EXCEPTION","Provisioning Approval Gap",IF(LEFT(T153,9)="EXCEPTION","Recertification Gap","N/A"))))</f>
        <v>N/A</v>
      </c>
    </row>
    <row r="154" customFormat="false" ht="15" hidden="false" customHeight="true" outlineLevel="0" collapsed="false">
      <c r="A154" s="9" t="str">
        <f aca="false">Access_Grants!A154</f>
        <v>AG-0153</v>
      </c>
      <c r="B154" s="9" t="str">
        <f aca="false">Access_Grants!B154</f>
        <v>E045</v>
      </c>
      <c r="C154" s="9" t="str">
        <f aca="false">Access_Grants!C154</f>
        <v>Tariq Santos</v>
      </c>
      <c r="D154" s="9" t="str">
        <f aca="false">Access_Grants!D154</f>
        <v>Payroll</v>
      </c>
      <c r="E154" s="9" t="str">
        <f aca="false">Access_Grants!E154</f>
        <v>SYS-HRIS</v>
      </c>
      <c r="F154" s="9" t="str">
        <f aca="false">Access_Grants!F154</f>
        <v>R07</v>
      </c>
      <c r="G154" s="9" t="str">
        <f aca="false">Access_Grants!G154</f>
        <v>Payroll Approval / Release</v>
      </c>
      <c r="H154" s="9" t="str">
        <f aca="false">Access_Grants!H154</f>
        <v>Admin</v>
      </c>
      <c r="I154" s="9" t="str">
        <f aca="false">Access_Grants!L154</f>
        <v>Active</v>
      </c>
      <c r="J154" s="10" t="n">
        <f aca="false">Access_Grants!I154</f>
        <v>45976</v>
      </c>
      <c r="K154" s="10" t="n">
        <f aca="false">IFERROR(INDEX(HR_Employees!$F$2:$F$51,MATCH(B154,HR_Employees!$A$2:$A$51,0)),"")</f>
        <v>0</v>
      </c>
      <c r="L154" s="10" t="str">
        <f aca="false">IF(Access_Grants!M154="","",Access_Grants!M154)</f>
        <v/>
      </c>
      <c r="M154" s="9" t="str">
        <f aca="false">IF(K154="","N/A - Active Employee",IF(OR(I154="Active",AND(L154&lt;&gt;"",L154&gt;K154+5)),"EXCEPTION: TERMINATED USER - ACCESS NOT REVOKED TIMELY","OK - Revoked Within SLA"))</f>
        <v>N/A - Active Employee</v>
      </c>
      <c r="N154" s="9" t="str">
        <f aca="false">Access_Grants!J154&amp;""</f>
        <v>MGR-02</v>
      </c>
      <c r="O154" s="9" t="str">
        <f aca="false">Access_Grants!K154&amp;""</f>
        <v>CHG-55242</v>
      </c>
      <c r="P154" s="9" t="str">
        <f aca="false">IF(OR(TRIM(N154)="",TRIM(O154)=""),"EXCEPTION: NO DOCUMENTED APPROVAL","OK - Approved")</f>
        <v>OK - Approved</v>
      </c>
      <c r="Q154" s="9" t="str">
        <f aca="false">IFERROR(INDEX(SoD_Conflict_Matrix!$D$2:$D$7,MATCH(F154,SoD_Conflict_Matrix!$B$2:$B$7,0)),IFERROR(INDEX(SoD_Conflict_Matrix!$B$2:$B$7,MATCH(F154,SoD_Conflict_Matrix!$D$2:$D$7,0)),""))</f>
        <v>R06</v>
      </c>
      <c r="R154" s="9" t="str">
        <f aca="false">IFERROR(INDEX(SoD_Conflict_Matrix!$E$2:$E$7,MATCH(F154,SoD_Conflict_Matrix!$B$2:$B$7,0)),IFERROR(INDEX(SoD_Conflict_Matrix!$C$2:$C$7,MATCH(F154,SoD_Conflict_Matrix!$D$2:$D$7,0)),""))</f>
        <v>Payroll Data Entry</v>
      </c>
      <c r="S154" s="9" t="str">
        <f aca="false">IF(Q154="","No Conflict Rule Applies to This Role",IF(COUNTIFS(Access_Grants!$B$2:$B$175,B154,Access_Grants!$F$2:$F$175,Q154,Access_Grants!$L$2:$L$175,"Active")&gt;0,"EXCEPTION: SoD CONFLICT - ALSO HOLDS "&amp;R154,"OK - No Conflicting Role Held"))</f>
        <v>EXCEPTION: SoD CONFLICT - ALSO HOLDS Payroll Data Entry</v>
      </c>
      <c r="T154" s="9" t="str">
        <f aca="false">IF(AND(H154="Admin",I154="Active"),IF(COUNTIFS(Recertifications!$B$2:$B$119,B154,Recertifications!$E$2:$E$119,F154,Recertifications!$K$2:$K$119,"&lt;&gt;")&gt;0,"OK - Recertified","EXCEPTION: PRIVILEGED ACCESS NEVER RECERTIFIED"),"N/A - Not Privileged")</f>
        <v>OK - Recertified</v>
      </c>
      <c r="U154" s="9" t="str">
        <f aca="false">IF(OR(LEFT(M154,9)="EXCEPTION",LEFT(P154,9)="EXCEPTION",LEFT(S154,9)="EXCEPTION",LEFT(T154,9)="EXCEPTION"),"EXCEPTION","Clean")</f>
        <v>EXCEPTION</v>
      </c>
      <c r="V154" s="9" t="str">
        <f aca="false">IF(LEFT(M154,9)="EXCEPTION","Deprovisioning Control Gap",IF(LEFT(S154,9)="EXCEPTION","Segregation of Duties Conflict",IF(LEFT(P154,9)="EXCEPTION","Provisioning Approval Gap",IF(LEFT(T154,9)="EXCEPTION","Recertification Gap","N/A"))))</f>
        <v>Segregation of Duties Conflict</v>
      </c>
    </row>
    <row r="155" customFormat="false" ht="15" hidden="false" customHeight="true" outlineLevel="0" collapsed="false">
      <c r="A155" s="9" t="str">
        <f aca="false">Access_Grants!A155</f>
        <v>AG-0154</v>
      </c>
      <c r="B155" s="9" t="str">
        <f aca="false">Access_Grants!B155</f>
        <v>E045</v>
      </c>
      <c r="C155" s="9" t="str">
        <f aca="false">Access_Grants!C155</f>
        <v>Tariq Santos</v>
      </c>
      <c r="D155" s="9" t="str">
        <f aca="false">Access_Grants!D155</f>
        <v>Payroll</v>
      </c>
      <c r="E155" s="9" t="str">
        <f aca="false">Access_Grants!E155</f>
        <v>SYS-AD</v>
      </c>
      <c r="F155" s="9" t="str">
        <f aca="false">Access_Grants!F155</f>
        <v>R09</v>
      </c>
      <c r="G155" s="9" t="str">
        <f aca="false">Access_Grants!G155</f>
        <v>Standard Network User</v>
      </c>
      <c r="H155" s="9" t="str">
        <f aca="false">Access_Grants!H155</f>
        <v>Read</v>
      </c>
      <c r="I155" s="9" t="str">
        <f aca="false">Access_Grants!L155</f>
        <v>Revoked</v>
      </c>
      <c r="J155" s="10" t="n">
        <f aca="false">Access_Grants!I155</f>
        <v>46141</v>
      </c>
      <c r="K155" s="10" t="n">
        <f aca="false">IFERROR(INDEX(HR_Employees!$F$2:$F$51,MATCH(B155,HR_Employees!$A$2:$A$51,0)),"")</f>
        <v>0</v>
      </c>
      <c r="L155" s="10" t="n">
        <f aca="false">IF(Access_Grants!M155="","",Access_Grants!M155)</f>
        <v>46242</v>
      </c>
      <c r="M155" s="9" t="str">
        <f aca="false">IF(K155="","N/A - Active Employee",IF(OR(I155="Active",AND(L155&lt;&gt;"",L155&gt;K155+5)),"EXCEPTION: TERMINATED USER - ACCESS NOT REVOKED TIMELY","OK - Revoked Within SLA"))</f>
        <v>N/A - Active Employee</v>
      </c>
      <c r="N155" s="9" t="str">
        <f aca="false">Access_Grants!J155&amp;""</f>
        <v>MGR-08</v>
      </c>
      <c r="O155" s="9" t="str">
        <f aca="false">Access_Grants!K155&amp;""</f>
        <v>CHG-79066</v>
      </c>
      <c r="P155" s="9" t="str">
        <f aca="false">IF(OR(TRIM(N155)="",TRIM(O155)=""),"EXCEPTION: NO DOCUMENTED APPROVAL","OK - Approved")</f>
        <v>OK - Approved</v>
      </c>
      <c r="Q155" s="9" t="str">
        <f aca="false">IFERROR(INDEX(SoD_Conflict_Matrix!$D$2:$D$7,MATCH(F155,SoD_Conflict_Matrix!$B$2:$B$7,0)),IFERROR(INDEX(SoD_Conflict_Matrix!$B$2:$B$7,MATCH(F155,SoD_Conflict_Matrix!$D$2:$D$7,0)),""))</f>
        <v/>
      </c>
      <c r="R155" s="9" t="str">
        <f aca="false">IFERROR(INDEX(SoD_Conflict_Matrix!$E$2:$E$7,MATCH(F155,SoD_Conflict_Matrix!$B$2:$B$7,0)),IFERROR(INDEX(SoD_Conflict_Matrix!$C$2:$C$7,MATCH(F155,SoD_Conflict_Matrix!$D$2:$D$7,0)),""))</f>
        <v/>
      </c>
      <c r="S155" s="9" t="str">
        <f aca="false">IF(Q155="","No Conflict Rule Applies to This Role",IF(COUNTIFS(Access_Grants!$B$2:$B$175,B155,Access_Grants!$F$2:$F$175,Q155,Access_Grants!$L$2:$L$175,"Active")&gt;0,"EXCEPTION: SoD CONFLICT - ALSO HOLDS "&amp;R155,"OK - No Conflicting Role Held"))</f>
        <v>No Conflict Rule Applies to This Role</v>
      </c>
      <c r="T155" s="9" t="str">
        <f aca="false">IF(AND(H155="Admin",I155="Active"),IF(COUNTIFS(Recertifications!$B$2:$B$119,B155,Recertifications!$E$2:$E$119,F155,Recertifications!$K$2:$K$119,"&lt;&gt;")&gt;0,"OK - Recertified","EXCEPTION: PRIVILEGED ACCESS NEVER RECERTIFIED"),"N/A - Not Privileged")</f>
        <v>N/A - Not Privileged</v>
      </c>
      <c r="U155" s="9" t="str">
        <f aca="false">IF(OR(LEFT(M155,9)="EXCEPTION",LEFT(P155,9)="EXCEPTION",LEFT(S155,9)="EXCEPTION",LEFT(T155,9)="EXCEPTION"),"EXCEPTION","Clean")</f>
        <v>Clean</v>
      </c>
      <c r="V155" s="9" t="str">
        <f aca="false">IF(LEFT(M155,9)="EXCEPTION","Deprovisioning Control Gap",IF(LEFT(S155,9)="EXCEPTION","Segregation of Duties Conflict",IF(LEFT(P155,9)="EXCEPTION","Provisioning Approval Gap",IF(LEFT(T155,9)="EXCEPTION","Recertification Gap","N/A"))))</f>
        <v>N/A</v>
      </c>
    </row>
    <row r="156" customFormat="false" ht="15" hidden="false" customHeight="true" outlineLevel="0" collapsed="false">
      <c r="A156" s="9" t="str">
        <f aca="false">Access_Grants!A156</f>
        <v>AG-0155</v>
      </c>
      <c r="B156" s="9" t="str">
        <f aca="false">Access_Grants!B156</f>
        <v>E046</v>
      </c>
      <c r="C156" s="9" t="str">
        <f aca="false">Access_Grants!C156</f>
        <v>Zara Lopez</v>
      </c>
      <c r="D156" s="9" t="str">
        <f aca="false">Access_Grants!D156</f>
        <v>Accounts Payable</v>
      </c>
      <c r="E156" s="9" t="str">
        <f aca="false">Access_Grants!E156</f>
        <v>SYS-ERP</v>
      </c>
      <c r="F156" s="9" t="str">
        <f aca="false">Access_Grants!F156</f>
        <v>R01</v>
      </c>
      <c r="G156" s="9" t="str">
        <f aca="false">Access_Grants!G156</f>
        <v>AP Invoice Entry</v>
      </c>
      <c r="H156" s="9" t="str">
        <f aca="false">Access_Grants!H156</f>
        <v>Write</v>
      </c>
      <c r="I156" s="9" t="str">
        <f aca="false">Access_Grants!L156</f>
        <v>Revoked</v>
      </c>
      <c r="J156" s="10" t="n">
        <f aca="false">Access_Grants!I156</f>
        <v>44997</v>
      </c>
      <c r="K156" s="10" t="n">
        <f aca="false">IFERROR(INDEX(HR_Employees!$F$2:$F$51,MATCH(B156,HR_Employees!$A$2:$A$51,0)),"")</f>
        <v>0</v>
      </c>
      <c r="L156" s="10" t="n">
        <f aca="false">IF(Access_Grants!M156="","",Access_Grants!M156)</f>
        <v>45878</v>
      </c>
      <c r="M156" s="9" t="str">
        <f aca="false">IF(K156="","N/A - Active Employee",IF(OR(I156="Active",AND(L156&lt;&gt;"",L156&gt;K156+5)),"EXCEPTION: TERMINATED USER - ACCESS NOT REVOKED TIMELY","OK - Revoked Within SLA"))</f>
        <v>N/A - Active Employee</v>
      </c>
      <c r="N156" s="9" t="str">
        <f aca="false">Access_Grants!J156&amp;""</f>
        <v>MGR-05</v>
      </c>
      <c r="O156" s="9" t="str">
        <f aca="false">Access_Grants!K156&amp;""</f>
        <v>CHG-47938</v>
      </c>
      <c r="P156" s="9" t="str">
        <f aca="false">IF(OR(TRIM(N156)="",TRIM(O156)=""),"EXCEPTION: NO DOCUMENTED APPROVAL","OK - Approved")</f>
        <v>OK - Approved</v>
      </c>
      <c r="Q156" s="9" t="str">
        <f aca="false">IFERROR(INDEX(SoD_Conflict_Matrix!$D$2:$D$7,MATCH(F156,SoD_Conflict_Matrix!$B$2:$B$7,0)),IFERROR(INDEX(SoD_Conflict_Matrix!$B$2:$B$7,MATCH(F156,SoD_Conflict_Matrix!$D$2:$D$7,0)),""))</f>
        <v>R02</v>
      </c>
      <c r="R156" s="9" t="str">
        <f aca="false">IFERROR(INDEX(SoD_Conflict_Matrix!$E$2:$E$7,MATCH(F156,SoD_Conflict_Matrix!$B$2:$B$7,0)),IFERROR(INDEX(SoD_Conflict_Matrix!$C$2:$C$7,MATCH(F156,SoD_Conflict_Matrix!$D$2:$D$7,0)),""))</f>
        <v>AP Payment Approval</v>
      </c>
      <c r="S156" s="9" t="str">
        <f aca="false">IF(Q156="","No Conflict Rule Applies to This Role",IF(COUNTIFS(Access_Grants!$B$2:$B$175,B156,Access_Grants!$F$2:$F$175,Q156,Access_Grants!$L$2:$L$175,"Active")&gt;0,"EXCEPTION: SoD CONFLICT - ALSO HOLDS "&amp;R156,"OK - No Conflicting Role Held"))</f>
        <v>EXCEPTION: SoD CONFLICT - ALSO HOLDS AP Payment Approval</v>
      </c>
      <c r="T156" s="9" t="str">
        <f aca="false">IF(AND(H156="Admin",I156="Active"),IF(COUNTIFS(Recertifications!$B$2:$B$119,B156,Recertifications!$E$2:$E$119,F156,Recertifications!$K$2:$K$119,"&lt;&gt;")&gt;0,"OK - Recertified","EXCEPTION: PRIVILEGED ACCESS NEVER RECERTIFIED"),"N/A - Not Privileged")</f>
        <v>N/A - Not Privileged</v>
      </c>
      <c r="U156" s="9" t="str">
        <f aca="false">IF(OR(LEFT(M156,9)="EXCEPTION",LEFT(P156,9)="EXCEPTION",LEFT(S156,9)="EXCEPTION",LEFT(T156,9)="EXCEPTION"),"EXCEPTION","Clean")</f>
        <v>EXCEPTION</v>
      </c>
      <c r="V156" s="9" t="str">
        <f aca="false">IF(LEFT(M156,9)="EXCEPTION","Deprovisioning Control Gap",IF(LEFT(S156,9)="EXCEPTION","Segregation of Duties Conflict",IF(LEFT(P156,9)="EXCEPTION","Provisioning Approval Gap",IF(LEFT(T156,9)="EXCEPTION","Recertification Gap","N/A"))))</f>
        <v>Segregation of Duties Conflict</v>
      </c>
    </row>
    <row r="157" customFormat="false" ht="15" hidden="false" customHeight="true" outlineLevel="0" collapsed="false">
      <c r="A157" s="9" t="str">
        <f aca="false">Access_Grants!A157</f>
        <v>AG-0156</v>
      </c>
      <c r="B157" s="9" t="str">
        <f aca="false">Access_Grants!B157</f>
        <v>E046</v>
      </c>
      <c r="C157" s="9" t="str">
        <f aca="false">Access_Grants!C157</f>
        <v>Zara Lopez</v>
      </c>
      <c r="D157" s="9" t="str">
        <f aca="false">Access_Grants!D157</f>
        <v>Accounts Payable</v>
      </c>
      <c r="E157" s="9" t="str">
        <f aca="false">Access_Grants!E157</f>
        <v>SYS-ERP</v>
      </c>
      <c r="F157" s="9" t="str">
        <f aca="false">Access_Grants!F157</f>
        <v>R02</v>
      </c>
      <c r="G157" s="9" t="str">
        <f aca="false">Access_Grants!G157</f>
        <v>AP Payment Approval</v>
      </c>
      <c r="H157" s="9" t="str">
        <f aca="false">Access_Grants!H157</f>
        <v>Write</v>
      </c>
      <c r="I157" s="9" t="str">
        <f aca="false">Access_Grants!L157</f>
        <v>Active</v>
      </c>
      <c r="J157" s="10" t="n">
        <f aca="false">Access_Grants!I157</f>
        <v>45016</v>
      </c>
      <c r="K157" s="10" t="n">
        <f aca="false">IFERROR(INDEX(HR_Employees!$F$2:$F$51,MATCH(B157,HR_Employees!$A$2:$A$51,0)),"")</f>
        <v>0</v>
      </c>
      <c r="L157" s="10" t="str">
        <f aca="false">IF(Access_Grants!M157="","",Access_Grants!M157)</f>
        <v/>
      </c>
      <c r="M157" s="9" t="str">
        <f aca="false">IF(K157="","N/A - Active Employee",IF(OR(I157="Active",AND(L157&lt;&gt;"",L157&gt;K157+5)),"EXCEPTION: TERMINATED USER - ACCESS NOT REVOKED TIMELY","OK - Revoked Within SLA"))</f>
        <v>N/A - Active Employee</v>
      </c>
      <c r="N157" s="9" t="str">
        <f aca="false">Access_Grants!J157&amp;""</f>
        <v>MGR-03</v>
      </c>
      <c r="O157" s="9" t="str">
        <f aca="false">Access_Grants!K157&amp;""</f>
        <v>CHG-59834</v>
      </c>
      <c r="P157" s="9" t="str">
        <f aca="false">IF(OR(TRIM(N157)="",TRIM(O157)=""),"EXCEPTION: NO DOCUMENTED APPROVAL","OK - Approved")</f>
        <v>OK - Approved</v>
      </c>
      <c r="Q157" s="9" t="str">
        <f aca="false">IFERROR(INDEX(SoD_Conflict_Matrix!$D$2:$D$7,MATCH(F157,SoD_Conflict_Matrix!$B$2:$B$7,0)),IFERROR(INDEX(SoD_Conflict_Matrix!$B$2:$B$7,MATCH(F157,SoD_Conflict_Matrix!$D$2:$D$7,0)),""))</f>
        <v>R01</v>
      </c>
      <c r="R157" s="9" t="str">
        <f aca="false">IFERROR(INDEX(SoD_Conflict_Matrix!$E$2:$E$7,MATCH(F157,SoD_Conflict_Matrix!$B$2:$B$7,0)),IFERROR(INDEX(SoD_Conflict_Matrix!$C$2:$C$7,MATCH(F157,SoD_Conflict_Matrix!$D$2:$D$7,0)),""))</f>
        <v>AP Invoice Entry</v>
      </c>
      <c r="S157" s="9" t="str">
        <f aca="false">IF(Q157="","No Conflict Rule Applies to This Role",IF(COUNTIFS(Access_Grants!$B$2:$B$175,B157,Access_Grants!$F$2:$F$175,Q157,Access_Grants!$L$2:$L$175,"Active")&gt;0,"EXCEPTION: SoD CONFLICT - ALSO HOLDS "&amp;R157,"OK - No Conflicting Role Held"))</f>
        <v>OK - No Conflicting Role Held</v>
      </c>
      <c r="T157" s="9" t="str">
        <f aca="false">IF(AND(H157="Admin",I157="Active"),IF(COUNTIFS(Recertifications!$B$2:$B$119,B157,Recertifications!$E$2:$E$119,F157,Recertifications!$K$2:$K$119,"&lt;&gt;")&gt;0,"OK - Recertified","EXCEPTION: PRIVILEGED ACCESS NEVER RECERTIFIED"),"N/A - Not Privileged")</f>
        <v>N/A - Not Privileged</v>
      </c>
      <c r="U157" s="9" t="str">
        <f aca="false">IF(OR(LEFT(M157,9)="EXCEPTION",LEFT(P157,9)="EXCEPTION",LEFT(S157,9)="EXCEPTION",LEFT(T157,9)="EXCEPTION"),"EXCEPTION","Clean")</f>
        <v>Clean</v>
      </c>
      <c r="V157" s="9" t="str">
        <f aca="false">IF(LEFT(M157,9)="EXCEPTION","Deprovisioning Control Gap",IF(LEFT(S157,9)="EXCEPTION","Segregation of Duties Conflict",IF(LEFT(P157,9)="EXCEPTION","Provisioning Approval Gap",IF(LEFT(T157,9)="EXCEPTION","Recertification Gap","N/A"))))</f>
        <v>N/A</v>
      </c>
    </row>
    <row r="158" customFormat="false" ht="15" hidden="false" customHeight="true" outlineLevel="0" collapsed="false">
      <c r="A158" s="9" t="str">
        <f aca="false">Access_Grants!A158</f>
        <v>AG-0157</v>
      </c>
      <c r="B158" s="9" t="str">
        <f aca="false">Access_Grants!B158</f>
        <v>E046</v>
      </c>
      <c r="C158" s="9" t="str">
        <f aca="false">Access_Grants!C158</f>
        <v>Zara Lopez</v>
      </c>
      <c r="D158" s="9" t="str">
        <f aca="false">Access_Grants!D158</f>
        <v>Accounts Payable</v>
      </c>
      <c r="E158" s="9" t="str">
        <f aca="false">Access_Grants!E158</f>
        <v>SYS-ERP</v>
      </c>
      <c r="F158" s="9" t="str">
        <f aca="false">Access_Grants!F158</f>
        <v>R03</v>
      </c>
      <c r="G158" s="9" t="str">
        <f aca="false">Access_Grants!G158</f>
        <v>Vendor Master Maintenance</v>
      </c>
      <c r="H158" s="9" t="str">
        <f aca="false">Access_Grants!H158</f>
        <v>Write</v>
      </c>
      <c r="I158" s="9" t="str">
        <f aca="false">Access_Grants!L158</f>
        <v>Revoked</v>
      </c>
      <c r="J158" s="10" t="n">
        <f aca="false">Access_Grants!I158</f>
        <v>45213</v>
      </c>
      <c r="K158" s="10" t="n">
        <f aca="false">IFERROR(INDEX(HR_Employees!$F$2:$F$51,MATCH(B158,HR_Employees!$A$2:$A$51,0)),"")</f>
        <v>0</v>
      </c>
      <c r="L158" s="10" t="n">
        <f aca="false">IF(Access_Grants!M158="","",Access_Grants!M158)</f>
        <v>45251</v>
      </c>
      <c r="M158" s="9" t="str">
        <f aca="false">IF(K158="","N/A - Active Employee",IF(OR(I158="Active",AND(L158&lt;&gt;"",L158&gt;K158+5)),"EXCEPTION: TERMINATED USER - ACCESS NOT REVOKED TIMELY","OK - Revoked Within SLA"))</f>
        <v>N/A - Active Employee</v>
      </c>
      <c r="N158" s="9" t="str">
        <f aca="false">Access_Grants!J158&amp;""</f>
        <v>System Auto-Provision</v>
      </c>
      <c r="O158" s="9" t="str">
        <f aca="false">Access_Grants!K158&amp;""</f>
        <v/>
      </c>
      <c r="P158" s="9" t="str">
        <f aca="false">IF(OR(TRIM(N158)="",TRIM(O158)=""),"EXCEPTION: NO DOCUMENTED APPROVAL","OK - Approved")</f>
        <v>EXCEPTION: NO DOCUMENTED APPROVAL</v>
      </c>
      <c r="Q158" s="9" t="str">
        <f aca="false">IFERROR(INDEX(SoD_Conflict_Matrix!$D$2:$D$7,MATCH(F158,SoD_Conflict_Matrix!$B$2:$B$7,0)),IFERROR(INDEX(SoD_Conflict_Matrix!$B$2:$B$7,MATCH(F158,SoD_Conflict_Matrix!$D$2:$D$7,0)),""))</f>
        <v>R02</v>
      </c>
      <c r="R158" s="9" t="str">
        <f aca="false">IFERROR(INDEX(SoD_Conflict_Matrix!$E$2:$E$7,MATCH(F158,SoD_Conflict_Matrix!$B$2:$B$7,0)),IFERROR(INDEX(SoD_Conflict_Matrix!$C$2:$C$7,MATCH(F158,SoD_Conflict_Matrix!$D$2:$D$7,0)),""))</f>
        <v>AP Payment Approval</v>
      </c>
      <c r="S158" s="9" t="str">
        <f aca="false">IF(Q158="","No Conflict Rule Applies to This Role",IF(COUNTIFS(Access_Grants!$B$2:$B$175,B158,Access_Grants!$F$2:$F$175,Q158,Access_Grants!$L$2:$L$175,"Active")&gt;0,"EXCEPTION: SoD CONFLICT - ALSO HOLDS "&amp;R158,"OK - No Conflicting Role Held"))</f>
        <v>EXCEPTION: SoD CONFLICT - ALSO HOLDS AP Payment Approval</v>
      </c>
      <c r="T158" s="9" t="str">
        <f aca="false">IF(AND(H158="Admin",I158="Active"),IF(COUNTIFS(Recertifications!$B$2:$B$119,B158,Recertifications!$E$2:$E$119,F158,Recertifications!$K$2:$K$119,"&lt;&gt;")&gt;0,"OK - Recertified","EXCEPTION: PRIVILEGED ACCESS NEVER RECERTIFIED"),"N/A - Not Privileged")</f>
        <v>N/A - Not Privileged</v>
      </c>
      <c r="U158" s="9" t="str">
        <f aca="false">IF(OR(LEFT(M158,9)="EXCEPTION",LEFT(P158,9)="EXCEPTION",LEFT(S158,9)="EXCEPTION",LEFT(T158,9)="EXCEPTION"),"EXCEPTION","Clean")</f>
        <v>EXCEPTION</v>
      </c>
      <c r="V158" s="9" t="str">
        <f aca="false">IF(LEFT(M158,9)="EXCEPTION","Deprovisioning Control Gap",IF(LEFT(S158,9)="EXCEPTION","Segregation of Duties Conflict",IF(LEFT(P158,9)="EXCEPTION","Provisioning Approval Gap",IF(LEFT(T158,9)="EXCEPTION","Recertification Gap","N/A"))))</f>
        <v>Segregation of Duties Conflict</v>
      </c>
    </row>
    <row r="159" customFormat="false" ht="15" hidden="false" customHeight="true" outlineLevel="0" collapsed="false">
      <c r="A159" s="9" t="str">
        <f aca="false">Access_Grants!A159</f>
        <v>AG-0158</v>
      </c>
      <c r="B159" s="9" t="str">
        <f aca="false">Access_Grants!B159</f>
        <v>E046</v>
      </c>
      <c r="C159" s="9" t="str">
        <f aca="false">Access_Grants!C159</f>
        <v>Zara Lopez</v>
      </c>
      <c r="D159" s="9" t="str">
        <f aca="false">Access_Grants!D159</f>
        <v>Accounts Payable</v>
      </c>
      <c r="E159" s="9" t="str">
        <f aca="false">Access_Grants!E159</f>
        <v>SYS-AD</v>
      </c>
      <c r="F159" s="9" t="str">
        <f aca="false">Access_Grants!F159</f>
        <v>R09</v>
      </c>
      <c r="G159" s="9" t="str">
        <f aca="false">Access_Grants!G159</f>
        <v>Standard Network User</v>
      </c>
      <c r="H159" s="9" t="str">
        <f aca="false">Access_Grants!H159</f>
        <v>Read</v>
      </c>
      <c r="I159" s="9" t="str">
        <f aca="false">Access_Grants!L159</f>
        <v>Active</v>
      </c>
      <c r="J159" s="10" t="n">
        <f aca="false">Access_Grants!I159</f>
        <v>45162</v>
      </c>
      <c r="K159" s="10" t="n">
        <f aca="false">IFERROR(INDEX(HR_Employees!$F$2:$F$51,MATCH(B159,HR_Employees!$A$2:$A$51,0)),"")</f>
        <v>0</v>
      </c>
      <c r="L159" s="10" t="str">
        <f aca="false">IF(Access_Grants!M159="","",Access_Grants!M159)</f>
        <v/>
      </c>
      <c r="M159" s="9" t="str">
        <f aca="false">IF(K159="","N/A - Active Employee",IF(OR(I159="Active",AND(L159&lt;&gt;"",L159&gt;K159+5)),"EXCEPTION: TERMINATED USER - ACCESS NOT REVOKED TIMELY","OK - Revoked Within SLA"))</f>
        <v>N/A - Active Employee</v>
      </c>
      <c r="N159" s="9" t="str">
        <f aca="false">Access_Grants!J159&amp;""</f>
        <v>MGR-02</v>
      </c>
      <c r="O159" s="9" t="str">
        <f aca="false">Access_Grants!K159&amp;""</f>
        <v>CHG-51033</v>
      </c>
      <c r="P159" s="9" t="str">
        <f aca="false">IF(OR(TRIM(N159)="",TRIM(O159)=""),"EXCEPTION: NO DOCUMENTED APPROVAL","OK - Approved")</f>
        <v>OK - Approved</v>
      </c>
      <c r="Q159" s="9" t="str">
        <f aca="false">IFERROR(INDEX(SoD_Conflict_Matrix!$D$2:$D$7,MATCH(F159,SoD_Conflict_Matrix!$B$2:$B$7,0)),IFERROR(INDEX(SoD_Conflict_Matrix!$B$2:$B$7,MATCH(F159,SoD_Conflict_Matrix!$D$2:$D$7,0)),""))</f>
        <v/>
      </c>
      <c r="R159" s="9" t="str">
        <f aca="false">IFERROR(INDEX(SoD_Conflict_Matrix!$E$2:$E$7,MATCH(F159,SoD_Conflict_Matrix!$B$2:$B$7,0)),IFERROR(INDEX(SoD_Conflict_Matrix!$C$2:$C$7,MATCH(F159,SoD_Conflict_Matrix!$D$2:$D$7,0)),""))</f>
        <v/>
      </c>
      <c r="S159" s="9" t="str">
        <f aca="false">IF(Q159="","No Conflict Rule Applies to This Role",IF(COUNTIFS(Access_Grants!$B$2:$B$175,B159,Access_Grants!$F$2:$F$175,Q159,Access_Grants!$L$2:$L$175,"Active")&gt;0,"EXCEPTION: SoD CONFLICT - ALSO HOLDS "&amp;R159,"OK - No Conflicting Role Held"))</f>
        <v>No Conflict Rule Applies to This Role</v>
      </c>
      <c r="T159" s="9" t="str">
        <f aca="false">IF(AND(H159="Admin",I159="Active"),IF(COUNTIFS(Recertifications!$B$2:$B$119,B159,Recertifications!$E$2:$E$119,F159,Recertifications!$K$2:$K$119,"&lt;&gt;")&gt;0,"OK - Recertified","EXCEPTION: PRIVILEGED ACCESS NEVER RECERTIFIED"),"N/A - Not Privileged")</f>
        <v>N/A - Not Privileged</v>
      </c>
      <c r="U159" s="9" t="str">
        <f aca="false">IF(OR(LEFT(M159,9)="EXCEPTION",LEFT(P159,9)="EXCEPTION",LEFT(S159,9)="EXCEPTION",LEFT(T159,9)="EXCEPTION"),"EXCEPTION","Clean")</f>
        <v>Clean</v>
      </c>
      <c r="V159" s="9" t="str">
        <f aca="false">IF(LEFT(M159,9)="EXCEPTION","Deprovisioning Control Gap",IF(LEFT(S159,9)="EXCEPTION","Segregation of Duties Conflict",IF(LEFT(P159,9)="EXCEPTION","Provisioning Approval Gap",IF(LEFT(T159,9)="EXCEPTION","Recertification Gap","N/A"))))</f>
        <v>N/A</v>
      </c>
    </row>
    <row r="160" customFormat="false" ht="15" hidden="false" customHeight="true" outlineLevel="0" collapsed="false">
      <c r="A160" s="9" t="str">
        <f aca="false">Access_Grants!A160</f>
        <v>AG-0159</v>
      </c>
      <c r="B160" s="9" t="str">
        <f aca="false">Access_Grants!B160</f>
        <v>E047</v>
      </c>
      <c r="C160" s="9" t="str">
        <f aca="false">Access_Grants!C160</f>
        <v>Kenji Braga</v>
      </c>
      <c r="D160" s="9" t="str">
        <f aca="false">Access_Grants!D160</f>
        <v>Treasury</v>
      </c>
      <c r="E160" s="9" t="str">
        <f aca="false">Access_Grants!E160</f>
        <v>SYS-HRIS</v>
      </c>
      <c r="F160" s="9" t="str">
        <f aca="false">Access_Grants!F160</f>
        <v>R08</v>
      </c>
      <c r="G160" s="9" t="str">
        <f aca="false">Access_Grants!G160</f>
        <v>Employee Master Read-Only</v>
      </c>
      <c r="H160" s="9" t="str">
        <f aca="false">Access_Grants!H160</f>
        <v>Read</v>
      </c>
      <c r="I160" s="9" t="str">
        <f aca="false">Access_Grants!L160</f>
        <v>Active</v>
      </c>
      <c r="J160" s="10" t="n">
        <f aca="false">Access_Grants!I160</f>
        <v>45014</v>
      </c>
      <c r="K160" s="10" t="n">
        <f aca="false">IFERROR(INDEX(HR_Employees!$F$2:$F$51,MATCH(B160,HR_Employees!$A$2:$A$51,0)),"")</f>
        <v>0</v>
      </c>
      <c r="L160" s="10" t="str">
        <f aca="false">IF(Access_Grants!M160="","",Access_Grants!M160)</f>
        <v/>
      </c>
      <c r="M160" s="9" t="str">
        <f aca="false">IF(K160="","N/A - Active Employee",IF(OR(I160="Active",AND(L160&lt;&gt;"",L160&gt;K160+5)),"EXCEPTION: TERMINATED USER - ACCESS NOT REVOKED TIMELY","OK - Revoked Within SLA"))</f>
        <v>N/A - Active Employee</v>
      </c>
      <c r="N160" s="9" t="str">
        <f aca="false">Access_Grants!J160&amp;""</f>
        <v>MGR-10</v>
      </c>
      <c r="O160" s="9" t="str">
        <f aca="false">Access_Grants!K160&amp;""</f>
        <v>CHG-70305</v>
      </c>
      <c r="P160" s="9" t="str">
        <f aca="false">IF(OR(TRIM(N160)="",TRIM(O160)=""),"EXCEPTION: NO DOCUMENTED APPROVAL","OK - Approved")</f>
        <v>OK - Approved</v>
      </c>
      <c r="Q160" s="9" t="str">
        <f aca="false">IFERROR(INDEX(SoD_Conflict_Matrix!$D$2:$D$7,MATCH(F160,SoD_Conflict_Matrix!$B$2:$B$7,0)),IFERROR(INDEX(SoD_Conflict_Matrix!$B$2:$B$7,MATCH(F160,SoD_Conflict_Matrix!$D$2:$D$7,0)),""))</f>
        <v/>
      </c>
      <c r="R160" s="9" t="str">
        <f aca="false">IFERROR(INDEX(SoD_Conflict_Matrix!$E$2:$E$7,MATCH(F160,SoD_Conflict_Matrix!$B$2:$B$7,0)),IFERROR(INDEX(SoD_Conflict_Matrix!$C$2:$C$7,MATCH(F160,SoD_Conflict_Matrix!$D$2:$D$7,0)),""))</f>
        <v/>
      </c>
      <c r="S160" s="9" t="str">
        <f aca="false">IF(Q160="","No Conflict Rule Applies to This Role",IF(COUNTIFS(Access_Grants!$B$2:$B$175,B160,Access_Grants!$F$2:$F$175,Q160,Access_Grants!$L$2:$L$175,"Active")&gt;0,"EXCEPTION: SoD CONFLICT - ALSO HOLDS "&amp;R160,"OK - No Conflicting Role Held"))</f>
        <v>No Conflict Rule Applies to This Role</v>
      </c>
      <c r="T160" s="9" t="str">
        <f aca="false">IF(AND(H160="Admin",I160="Active"),IF(COUNTIFS(Recertifications!$B$2:$B$119,B160,Recertifications!$E$2:$E$119,F160,Recertifications!$K$2:$K$119,"&lt;&gt;")&gt;0,"OK - Recertified","EXCEPTION: PRIVILEGED ACCESS NEVER RECERTIFIED"),"N/A - Not Privileged")</f>
        <v>N/A - Not Privileged</v>
      </c>
      <c r="U160" s="9" t="str">
        <f aca="false">IF(OR(LEFT(M160,9)="EXCEPTION",LEFT(P160,9)="EXCEPTION",LEFT(S160,9)="EXCEPTION",LEFT(T160,9)="EXCEPTION"),"EXCEPTION","Clean")</f>
        <v>Clean</v>
      </c>
      <c r="V160" s="9" t="str">
        <f aca="false">IF(LEFT(M160,9)="EXCEPTION","Deprovisioning Control Gap",IF(LEFT(S160,9)="EXCEPTION","Segregation of Duties Conflict",IF(LEFT(P160,9)="EXCEPTION","Provisioning Approval Gap",IF(LEFT(T160,9)="EXCEPTION","Recertification Gap","N/A"))))</f>
        <v>N/A</v>
      </c>
    </row>
    <row r="161" customFormat="false" ht="15" hidden="false" customHeight="true" outlineLevel="0" collapsed="false">
      <c r="A161" s="9" t="str">
        <f aca="false">Access_Grants!A161</f>
        <v>AG-0160</v>
      </c>
      <c r="B161" s="9" t="str">
        <f aca="false">Access_Grants!B161</f>
        <v>E047</v>
      </c>
      <c r="C161" s="9" t="str">
        <f aca="false">Access_Grants!C161</f>
        <v>Kenji Braga</v>
      </c>
      <c r="D161" s="9" t="str">
        <f aca="false">Access_Grants!D161</f>
        <v>Treasury</v>
      </c>
      <c r="E161" s="9" t="str">
        <f aca="false">Access_Grants!E161</f>
        <v>SYS-BANK</v>
      </c>
      <c r="F161" s="9" t="str">
        <f aca="false">Access_Grants!F161</f>
        <v>R14</v>
      </c>
      <c r="G161" s="9" t="str">
        <f aca="false">Access_Grants!G161</f>
        <v>Wire Approval / Release</v>
      </c>
      <c r="H161" s="9" t="str">
        <f aca="false">Access_Grants!H161</f>
        <v>Admin</v>
      </c>
      <c r="I161" s="9" t="str">
        <f aca="false">Access_Grants!L161</f>
        <v>Active</v>
      </c>
      <c r="J161" s="10" t="n">
        <f aca="false">Access_Grants!I161</f>
        <v>44972</v>
      </c>
      <c r="K161" s="10" t="n">
        <f aca="false">IFERROR(INDEX(HR_Employees!$F$2:$F$51,MATCH(B161,HR_Employees!$A$2:$A$51,0)),"")</f>
        <v>0</v>
      </c>
      <c r="L161" s="10" t="str">
        <f aca="false">IF(Access_Grants!M161="","",Access_Grants!M161)</f>
        <v/>
      </c>
      <c r="M161" s="9" t="str">
        <f aca="false">IF(K161="","N/A - Active Employee",IF(OR(I161="Active",AND(L161&lt;&gt;"",L161&gt;K161+5)),"EXCEPTION: TERMINATED USER - ACCESS NOT REVOKED TIMELY","OK - Revoked Within SLA"))</f>
        <v>N/A - Active Employee</v>
      </c>
      <c r="N161" s="9" t="str">
        <f aca="false">Access_Grants!J161&amp;""</f>
        <v>MGR-07</v>
      </c>
      <c r="O161" s="9" t="str">
        <f aca="false">Access_Grants!K161&amp;""</f>
        <v>CHG-23875</v>
      </c>
      <c r="P161" s="9" t="str">
        <f aca="false">IF(OR(TRIM(N161)="",TRIM(O161)=""),"EXCEPTION: NO DOCUMENTED APPROVAL","OK - Approved")</f>
        <v>OK - Approved</v>
      </c>
      <c r="Q161" s="9" t="str">
        <f aca="false">IFERROR(INDEX(SoD_Conflict_Matrix!$D$2:$D$7,MATCH(F161,SoD_Conflict_Matrix!$B$2:$B$7,0)),IFERROR(INDEX(SoD_Conflict_Matrix!$B$2:$B$7,MATCH(F161,SoD_Conflict_Matrix!$D$2:$D$7,0)),""))</f>
        <v>R13</v>
      </c>
      <c r="R161" s="9" t="str">
        <f aca="false">IFERROR(INDEX(SoD_Conflict_Matrix!$E$2:$E$7,MATCH(F161,SoD_Conflict_Matrix!$B$2:$B$7,0)),IFERROR(INDEX(SoD_Conflict_Matrix!$C$2:$C$7,MATCH(F161,SoD_Conflict_Matrix!$D$2:$D$7,0)),""))</f>
        <v>Wire Initiation</v>
      </c>
      <c r="S161" s="9" t="str">
        <f aca="false">IF(Q161="","No Conflict Rule Applies to This Role",IF(COUNTIFS(Access_Grants!$B$2:$B$175,B161,Access_Grants!$F$2:$F$175,Q161,Access_Grants!$L$2:$L$175,"Active")&gt;0,"EXCEPTION: SoD CONFLICT - ALSO HOLDS "&amp;R161,"OK - No Conflicting Role Held"))</f>
        <v>EXCEPTION: SoD CONFLICT - ALSO HOLDS Wire Initiation</v>
      </c>
      <c r="T161" s="9" t="str">
        <f aca="false">IF(AND(H161="Admin",I161="Active"),IF(COUNTIFS(Recertifications!$B$2:$B$119,B161,Recertifications!$E$2:$E$119,F161,Recertifications!$K$2:$K$119,"&lt;&gt;")&gt;0,"OK - Recertified","EXCEPTION: PRIVILEGED ACCESS NEVER RECERTIFIED"),"N/A - Not Privileged")</f>
        <v>EXCEPTION: PRIVILEGED ACCESS NEVER RECERTIFIED</v>
      </c>
      <c r="U161" s="9" t="str">
        <f aca="false">IF(OR(LEFT(M161,9)="EXCEPTION",LEFT(P161,9)="EXCEPTION",LEFT(S161,9)="EXCEPTION",LEFT(T161,9)="EXCEPTION"),"EXCEPTION","Clean")</f>
        <v>EXCEPTION</v>
      </c>
      <c r="V161" s="9" t="str">
        <f aca="false">IF(LEFT(M161,9)="EXCEPTION","Deprovisioning Control Gap",IF(LEFT(S161,9)="EXCEPTION","Segregation of Duties Conflict",IF(LEFT(P161,9)="EXCEPTION","Provisioning Approval Gap",IF(LEFT(T161,9)="EXCEPTION","Recertification Gap","N/A"))))</f>
        <v>Segregation of Duties Conflict</v>
      </c>
    </row>
    <row r="162" customFormat="false" ht="15" hidden="false" customHeight="true" outlineLevel="0" collapsed="false">
      <c r="A162" s="9" t="str">
        <f aca="false">Access_Grants!A162</f>
        <v>AG-0161</v>
      </c>
      <c r="B162" s="9" t="str">
        <f aca="false">Access_Grants!B162</f>
        <v>E047</v>
      </c>
      <c r="C162" s="9" t="str">
        <f aca="false">Access_Grants!C162</f>
        <v>Kenji Braga</v>
      </c>
      <c r="D162" s="9" t="str">
        <f aca="false">Access_Grants!D162</f>
        <v>Treasury</v>
      </c>
      <c r="E162" s="9" t="str">
        <f aca="false">Access_Grants!E162</f>
        <v>SYS-AD</v>
      </c>
      <c r="F162" s="9" t="str">
        <f aca="false">Access_Grants!F162</f>
        <v>R09</v>
      </c>
      <c r="G162" s="9" t="str">
        <f aca="false">Access_Grants!G162</f>
        <v>Standard Network User</v>
      </c>
      <c r="H162" s="9" t="str">
        <f aca="false">Access_Grants!H162</f>
        <v>Read</v>
      </c>
      <c r="I162" s="9" t="str">
        <f aca="false">Access_Grants!L162</f>
        <v>Active</v>
      </c>
      <c r="J162" s="10" t="n">
        <f aca="false">Access_Grants!I162</f>
        <v>45195</v>
      </c>
      <c r="K162" s="10" t="n">
        <f aca="false">IFERROR(INDEX(HR_Employees!$F$2:$F$51,MATCH(B162,HR_Employees!$A$2:$A$51,0)),"")</f>
        <v>0</v>
      </c>
      <c r="L162" s="10" t="str">
        <f aca="false">IF(Access_Grants!M162="","",Access_Grants!M162)</f>
        <v/>
      </c>
      <c r="M162" s="9" t="str">
        <f aca="false">IF(K162="","N/A - Active Employee",IF(OR(I162="Active",AND(L162&lt;&gt;"",L162&gt;K162+5)),"EXCEPTION: TERMINATED USER - ACCESS NOT REVOKED TIMELY","OK - Revoked Within SLA"))</f>
        <v>N/A - Active Employee</v>
      </c>
      <c r="N162" s="9" t="str">
        <f aca="false">Access_Grants!J162&amp;""</f>
        <v>MGR-02</v>
      </c>
      <c r="O162" s="9" t="str">
        <f aca="false">Access_Grants!K162&amp;""</f>
        <v>CHG-61873</v>
      </c>
      <c r="P162" s="9" t="str">
        <f aca="false">IF(OR(TRIM(N162)="",TRIM(O162)=""),"EXCEPTION: NO DOCUMENTED APPROVAL","OK - Approved")</f>
        <v>OK - Approved</v>
      </c>
      <c r="Q162" s="9" t="str">
        <f aca="false">IFERROR(INDEX(SoD_Conflict_Matrix!$D$2:$D$7,MATCH(F162,SoD_Conflict_Matrix!$B$2:$B$7,0)),IFERROR(INDEX(SoD_Conflict_Matrix!$B$2:$B$7,MATCH(F162,SoD_Conflict_Matrix!$D$2:$D$7,0)),""))</f>
        <v/>
      </c>
      <c r="R162" s="9" t="str">
        <f aca="false">IFERROR(INDEX(SoD_Conflict_Matrix!$E$2:$E$7,MATCH(F162,SoD_Conflict_Matrix!$B$2:$B$7,0)),IFERROR(INDEX(SoD_Conflict_Matrix!$C$2:$C$7,MATCH(F162,SoD_Conflict_Matrix!$D$2:$D$7,0)),""))</f>
        <v/>
      </c>
      <c r="S162" s="9" t="str">
        <f aca="false">IF(Q162="","No Conflict Rule Applies to This Role",IF(COUNTIFS(Access_Grants!$B$2:$B$175,B162,Access_Grants!$F$2:$F$175,Q162,Access_Grants!$L$2:$L$175,"Active")&gt;0,"EXCEPTION: SoD CONFLICT - ALSO HOLDS "&amp;R162,"OK - No Conflicting Role Held"))</f>
        <v>No Conflict Rule Applies to This Role</v>
      </c>
      <c r="T162" s="9" t="str">
        <f aca="false">IF(AND(H162="Admin",I162="Active"),IF(COUNTIFS(Recertifications!$B$2:$B$119,B162,Recertifications!$E$2:$E$119,F162,Recertifications!$K$2:$K$119,"&lt;&gt;")&gt;0,"OK - Recertified","EXCEPTION: PRIVILEGED ACCESS NEVER RECERTIFIED"),"N/A - Not Privileged")</f>
        <v>N/A - Not Privileged</v>
      </c>
      <c r="U162" s="9" t="str">
        <f aca="false">IF(OR(LEFT(M162,9)="EXCEPTION",LEFT(P162,9)="EXCEPTION",LEFT(S162,9)="EXCEPTION",LEFT(T162,9)="EXCEPTION"),"EXCEPTION","Clean")</f>
        <v>Clean</v>
      </c>
      <c r="V162" s="9" t="str">
        <f aca="false">IF(LEFT(M162,9)="EXCEPTION","Deprovisioning Control Gap",IF(LEFT(S162,9)="EXCEPTION","Segregation of Duties Conflict",IF(LEFT(P162,9)="EXCEPTION","Provisioning Approval Gap",IF(LEFT(T162,9)="EXCEPTION","Recertification Gap","N/A"))))</f>
        <v>N/A</v>
      </c>
    </row>
    <row r="163" customFormat="false" ht="15" hidden="false" customHeight="true" outlineLevel="0" collapsed="false">
      <c r="A163" s="9" t="str">
        <f aca="false">Access_Grants!A163</f>
        <v>AG-0162</v>
      </c>
      <c r="B163" s="9" t="str">
        <f aca="false">Access_Grants!B163</f>
        <v>E047</v>
      </c>
      <c r="C163" s="9" t="str">
        <f aca="false">Access_Grants!C163</f>
        <v>Kenji Braga</v>
      </c>
      <c r="D163" s="9" t="str">
        <f aca="false">Access_Grants!D163</f>
        <v>Treasury</v>
      </c>
      <c r="E163" s="9" t="str">
        <f aca="false">Access_Grants!E163</f>
        <v>SYS-BANK</v>
      </c>
      <c r="F163" s="9" t="str">
        <f aca="false">Access_Grants!F163</f>
        <v>R13</v>
      </c>
      <c r="G163" s="9" t="str">
        <f aca="false">Access_Grants!G163</f>
        <v>Wire Initiation</v>
      </c>
      <c r="H163" s="9" t="str">
        <f aca="false">Access_Grants!H163</f>
        <v>Write</v>
      </c>
      <c r="I163" s="9" t="str">
        <f aca="false">Access_Grants!L163</f>
        <v>Active</v>
      </c>
      <c r="J163" s="10" t="n">
        <f aca="false">Access_Grants!I163</f>
        <v>45040</v>
      </c>
      <c r="K163" s="10" t="n">
        <f aca="false">IFERROR(INDEX(HR_Employees!$F$2:$F$51,MATCH(B163,HR_Employees!$A$2:$A$51,0)),"")</f>
        <v>0</v>
      </c>
      <c r="L163" s="10" t="str">
        <f aca="false">IF(Access_Grants!M163="","",Access_Grants!M163)</f>
        <v/>
      </c>
      <c r="M163" s="9" t="str">
        <f aca="false">IF(K163="","N/A - Active Employee",IF(OR(I163="Active",AND(L163&lt;&gt;"",L163&gt;K163+5)),"EXCEPTION: TERMINATED USER - ACCESS NOT REVOKED TIMELY","OK - Revoked Within SLA"))</f>
        <v>N/A - Active Employee</v>
      </c>
      <c r="N163" s="9" t="str">
        <f aca="false">Access_Grants!J163&amp;""</f>
        <v>MGR-06</v>
      </c>
      <c r="O163" s="9" t="str">
        <f aca="false">Access_Grants!K163&amp;""</f>
        <v/>
      </c>
      <c r="P163" s="9" t="str">
        <f aca="false">IF(OR(TRIM(N163)="",TRIM(O163)=""),"EXCEPTION: NO DOCUMENTED APPROVAL","OK - Approved")</f>
        <v>EXCEPTION: NO DOCUMENTED APPROVAL</v>
      </c>
      <c r="Q163" s="9" t="str">
        <f aca="false">IFERROR(INDEX(SoD_Conflict_Matrix!$D$2:$D$7,MATCH(F163,SoD_Conflict_Matrix!$B$2:$B$7,0)),IFERROR(INDEX(SoD_Conflict_Matrix!$B$2:$B$7,MATCH(F163,SoD_Conflict_Matrix!$D$2:$D$7,0)),""))</f>
        <v>R14</v>
      </c>
      <c r="R163" s="9" t="str">
        <f aca="false">IFERROR(INDEX(SoD_Conflict_Matrix!$E$2:$E$7,MATCH(F163,SoD_Conflict_Matrix!$B$2:$B$7,0)),IFERROR(INDEX(SoD_Conflict_Matrix!$C$2:$C$7,MATCH(F163,SoD_Conflict_Matrix!$D$2:$D$7,0)),""))</f>
        <v>Wire Approval / Release</v>
      </c>
      <c r="S163" s="9" t="str">
        <f aca="false">IF(Q163="","No Conflict Rule Applies to This Role",IF(COUNTIFS(Access_Grants!$B$2:$B$175,B163,Access_Grants!$F$2:$F$175,Q163,Access_Grants!$L$2:$L$175,"Active")&gt;0,"EXCEPTION: SoD CONFLICT - ALSO HOLDS "&amp;R163,"OK - No Conflicting Role Held"))</f>
        <v>EXCEPTION: SoD CONFLICT - ALSO HOLDS Wire Approval / Release</v>
      </c>
      <c r="T163" s="9" t="str">
        <f aca="false">IF(AND(H163="Admin",I163="Active"),IF(COUNTIFS(Recertifications!$B$2:$B$119,B163,Recertifications!$E$2:$E$119,F163,Recertifications!$K$2:$K$119,"&lt;&gt;")&gt;0,"OK - Recertified","EXCEPTION: PRIVILEGED ACCESS NEVER RECERTIFIED"),"N/A - Not Privileged")</f>
        <v>N/A - Not Privileged</v>
      </c>
      <c r="U163" s="9" t="str">
        <f aca="false">IF(OR(LEFT(M163,9)="EXCEPTION",LEFT(P163,9)="EXCEPTION",LEFT(S163,9)="EXCEPTION",LEFT(T163,9)="EXCEPTION"),"EXCEPTION","Clean")</f>
        <v>EXCEPTION</v>
      </c>
      <c r="V163" s="9" t="str">
        <f aca="false">IF(LEFT(M163,9)="EXCEPTION","Deprovisioning Control Gap",IF(LEFT(S163,9)="EXCEPTION","Segregation of Duties Conflict",IF(LEFT(P163,9)="EXCEPTION","Provisioning Approval Gap",IF(LEFT(T163,9)="EXCEPTION","Recertification Gap","N/A"))))</f>
        <v>Segregation of Duties Conflict</v>
      </c>
    </row>
    <row r="164" customFormat="false" ht="15" hidden="false" customHeight="true" outlineLevel="0" collapsed="false">
      <c r="A164" s="9" t="str">
        <f aca="false">Access_Grants!A164</f>
        <v>AG-0163</v>
      </c>
      <c r="B164" s="9" t="str">
        <f aca="false">Access_Grants!B164</f>
        <v>E047</v>
      </c>
      <c r="C164" s="9" t="str">
        <f aca="false">Access_Grants!C164</f>
        <v>Kenji Braga</v>
      </c>
      <c r="D164" s="9" t="str">
        <f aca="false">Access_Grants!D164</f>
        <v>Treasury</v>
      </c>
      <c r="E164" s="9" t="str">
        <f aca="false">Access_Grants!E164</f>
        <v>SYS-ERP</v>
      </c>
      <c r="F164" s="9" t="str">
        <f aca="false">Access_Grants!F164</f>
        <v>R04</v>
      </c>
      <c r="G164" s="9" t="str">
        <f aca="false">Access_Grants!G164</f>
        <v>GL Journal Posting</v>
      </c>
      <c r="H164" s="9" t="str">
        <f aca="false">Access_Grants!H164</f>
        <v>Write</v>
      </c>
      <c r="I164" s="9" t="str">
        <f aca="false">Access_Grants!L164</f>
        <v>Active</v>
      </c>
      <c r="J164" s="10" t="n">
        <f aca="false">Access_Grants!I164</f>
        <v>45026</v>
      </c>
      <c r="K164" s="10" t="n">
        <f aca="false">IFERROR(INDEX(HR_Employees!$F$2:$F$51,MATCH(B164,HR_Employees!$A$2:$A$51,0)),"")</f>
        <v>0</v>
      </c>
      <c r="L164" s="10" t="str">
        <f aca="false">IF(Access_Grants!M164="","",Access_Grants!M164)</f>
        <v/>
      </c>
      <c r="M164" s="9" t="str">
        <f aca="false">IF(K164="","N/A - Active Employee",IF(OR(I164="Active",AND(L164&lt;&gt;"",L164&gt;K164+5)),"EXCEPTION: TERMINATED USER - ACCESS NOT REVOKED TIMELY","OK - Revoked Within SLA"))</f>
        <v>N/A - Active Employee</v>
      </c>
      <c r="N164" s="9" t="str">
        <f aca="false">Access_Grants!J164&amp;""</f>
        <v>MGR-06</v>
      </c>
      <c r="O164" s="9" t="str">
        <f aca="false">Access_Grants!K164&amp;""</f>
        <v>CHG-56019</v>
      </c>
      <c r="P164" s="9" t="str">
        <f aca="false">IF(OR(TRIM(N164)="",TRIM(O164)=""),"EXCEPTION: NO DOCUMENTED APPROVAL","OK - Approved")</f>
        <v>OK - Approved</v>
      </c>
      <c r="Q164" s="9" t="str">
        <f aca="false">IFERROR(INDEX(SoD_Conflict_Matrix!$D$2:$D$7,MATCH(F164,SoD_Conflict_Matrix!$B$2:$B$7,0)),IFERROR(INDEX(SoD_Conflict_Matrix!$B$2:$B$7,MATCH(F164,SoD_Conflict_Matrix!$D$2:$D$7,0)),""))</f>
        <v>R05</v>
      </c>
      <c r="R164" s="9" t="str">
        <f aca="false">IFERROR(INDEX(SoD_Conflict_Matrix!$E$2:$E$7,MATCH(F164,SoD_Conflict_Matrix!$B$2:$B$7,0)),IFERROR(INDEX(SoD_Conflict_Matrix!$C$2:$C$7,MATCH(F164,SoD_Conflict_Matrix!$D$2:$D$7,0)),""))</f>
        <v>GL Journal Approval</v>
      </c>
      <c r="S164" s="9" t="str">
        <f aca="false">IF(Q164="","No Conflict Rule Applies to This Role",IF(COUNTIFS(Access_Grants!$B$2:$B$175,B164,Access_Grants!$F$2:$F$175,Q164,Access_Grants!$L$2:$L$175,"Active")&gt;0,"EXCEPTION: SoD CONFLICT - ALSO HOLDS "&amp;R164,"OK - No Conflicting Role Held"))</f>
        <v>EXCEPTION: SoD CONFLICT - ALSO HOLDS GL Journal Approval</v>
      </c>
      <c r="T164" s="9" t="str">
        <f aca="false">IF(AND(H164="Admin",I164="Active"),IF(COUNTIFS(Recertifications!$B$2:$B$119,B164,Recertifications!$E$2:$E$119,F164,Recertifications!$K$2:$K$119,"&lt;&gt;")&gt;0,"OK - Recertified","EXCEPTION: PRIVILEGED ACCESS NEVER RECERTIFIED"),"N/A - Not Privileged")</f>
        <v>N/A - Not Privileged</v>
      </c>
      <c r="U164" s="9" t="str">
        <f aca="false">IF(OR(LEFT(M164,9)="EXCEPTION",LEFT(P164,9)="EXCEPTION",LEFT(S164,9)="EXCEPTION",LEFT(T164,9)="EXCEPTION"),"EXCEPTION","Clean")</f>
        <v>EXCEPTION</v>
      </c>
      <c r="V164" s="9" t="str">
        <f aca="false">IF(LEFT(M164,9)="EXCEPTION","Deprovisioning Control Gap",IF(LEFT(S164,9)="EXCEPTION","Segregation of Duties Conflict",IF(LEFT(P164,9)="EXCEPTION","Provisioning Approval Gap",IF(LEFT(T164,9)="EXCEPTION","Recertification Gap","N/A"))))</f>
        <v>Segregation of Duties Conflict</v>
      </c>
    </row>
    <row r="165" customFormat="false" ht="15" hidden="false" customHeight="true" outlineLevel="0" collapsed="false">
      <c r="A165" s="9" t="str">
        <f aca="false">Access_Grants!A165</f>
        <v>AG-0164</v>
      </c>
      <c r="B165" s="9" t="str">
        <f aca="false">Access_Grants!B165</f>
        <v>E047</v>
      </c>
      <c r="C165" s="9" t="str">
        <f aca="false">Access_Grants!C165</f>
        <v>Kenji Braga</v>
      </c>
      <c r="D165" s="9" t="str">
        <f aca="false">Access_Grants!D165</f>
        <v>Treasury</v>
      </c>
      <c r="E165" s="9" t="str">
        <f aca="false">Access_Grants!E165</f>
        <v>SYS-ERP</v>
      </c>
      <c r="F165" s="9" t="str">
        <f aca="false">Access_Grants!F165</f>
        <v>R05</v>
      </c>
      <c r="G165" s="9" t="str">
        <f aca="false">Access_Grants!G165</f>
        <v>GL Journal Approval</v>
      </c>
      <c r="H165" s="9" t="str">
        <f aca="false">Access_Grants!H165</f>
        <v>Admin</v>
      </c>
      <c r="I165" s="9" t="str">
        <f aca="false">Access_Grants!L165</f>
        <v>Active</v>
      </c>
      <c r="J165" s="10" t="n">
        <f aca="false">Access_Grants!I165</f>
        <v>45002</v>
      </c>
      <c r="K165" s="10" t="n">
        <f aca="false">IFERROR(INDEX(HR_Employees!$F$2:$F$51,MATCH(B165,HR_Employees!$A$2:$A$51,0)),"")</f>
        <v>0</v>
      </c>
      <c r="L165" s="10" t="str">
        <f aca="false">IF(Access_Grants!M165="","",Access_Grants!M165)</f>
        <v/>
      </c>
      <c r="M165" s="9" t="str">
        <f aca="false">IF(K165="","N/A - Active Employee",IF(OR(I165="Active",AND(L165&lt;&gt;"",L165&gt;K165+5)),"EXCEPTION: TERMINATED USER - ACCESS NOT REVOKED TIMELY","OK - Revoked Within SLA"))</f>
        <v>N/A - Active Employee</v>
      </c>
      <c r="N165" s="9" t="str">
        <f aca="false">Access_Grants!J165&amp;""</f>
        <v>MGR-04</v>
      </c>
      <c r="O165" s="9" t="str">
        <f aca="false">Access_Grants!K165&amp;""</f>
        <v>CHG-23474</v>
      </c>
      <c r="P165" s="9" t="str">
        <f aca="false">IF(OR(TRIM(N165)="",TRIM(O165)=""),"EXCEPTION: NO DOCUMENTED APPROVAL","OK - Approved")</f>
        <v>OK - Approved</v>
      </c>
      <c r="Q165" s="9" t="str">
        <f aca="false">IFERROR(INDEX(SoD_Conflict_Matrix!$D$2:$D$7,MATCH(F165,SoD_Conflict_Matrix!$B$2:$B$7,0)),IFERROR(INDEX(SoD_Conflict_Matrix!$B$2:$B$7,MATCH(F165,SoD_Conflict_Matrix!$D$2:$D$7,0)),""))</f>
        <v>R04</v>
      </c>
      <c r="R165" s="9" t="str">
        <f aca="false">IFERROR(INDEX(SoD_Conflict_Matrix!$E$2:$E$7,MATCH(F165,SoD_Conflict_Matrix!$B$2:$B$7,0)),IFERROR(INDEX(SoD_Conflict_Matrix!$C$2:$C$7,MATCH(F165,SoD_Conflict_Matrix!$D$2:$D$7,0)),""))</f>
        <v>GL Journal Posting</v>
      </c>
      <c r="S165" s="9" t="str">
        <f aca="false">IF(Q165="","No Conflict Rule Applies to This Role",IF(COUNTIFS(Access_Grants!$B$2:$B$175,B165,Access_Grants!$F$2:$F$175,Q165,Access_Grants!$L$2:$L$175,"Active")&gt;0,"EXCEPTION: SoD CONFLICT - ALSO HOLDS "&amp;R165,"OK - No Conflicting Role Held"))</f>
        <v>EXCEPTION: SoD CONFLICT - ALSO HOLDS GL Journal Posting</v>
      </c>
      <c r="T165" s="9" t="str">
        <f aca="false">IF(AND(H165="Admin",I165="Active"),IF(COUNTIFS(Recertifications!$B$2:$B$119,B165,Recertifications!$E$2:$E$119,F165,Recertifications!$K$2:$K$119,"&lt;&gt;")&gt;0,"OK - Recertified","EXCEPTION: PRIVILEGED ACCESS NEVER RECERTIFIED"),"N/A - Not Privileged")</f>
        <v>OK - Recertified</v>
      </c>
      <c r="U165" s="9" t="str">
        <f aca="false">IF(OR(LEFT(M165,9)="EXCEPTION",LEFT(P165,9)="EXCEPTION",LEFT(S165,9)="EXCEPTION",LEFT(T165,9)="EXCEPTION"),"EXCEPTION","Clean")</f>
        <v>EXCEPTION</v>
      </c>
      <c r="V165" s="9" t="str">
        <f aca="false">IF(LEFT(M165,9)="EXCEPTION","Deprovisioning Control Gap",IF(LEFT(S165,9)="EXCEPTION","Segregation of Duties Conflict",IF(LEFT(P165,9)="EXCEPTION","Provisioning Approval Gap",IF(LEFT(T165,9)="EXCEPTION","Recertification Gap","N/A"))))</f>
        <v>Segregation of Duties Conflict</v>
      </c>
    </row>
    <row r="166" customFormat="false" ht="15" hidden="false" customHeight="true" outlineLevel="0" collapsed="false">
      <c r="A166" s="9" t="str">
        <f aca="false">Access_Grants!A166</f>
        <v>AG-0165</v>
      </c>
      <c r="B166" s="9" t="str">
        <f aca="false">Access_Grants!B166</f>
        <v>E048</v>
      </c>
      <c r="C166" s="9" t="str">
        <f aca="false">Access_Grants!C166</f>
        <v>Noah Khan</v>
      </c>
      <c r="D166" s="9" t="str">
        <f aca="false">Access_Grants!D166</f>
        <v>Procurement</v>
      </c>
      <c r="E166" s="9" t="str">
        <f aca="false">Access_Grants!E166</f>
        <v>SYS-AD</v>
      </c>
      <c r="F166" s="9" t="str">
        <f aca="false">Access_Grants!F166</f>
        <v>R09</v>
      </c>
      <c r="G166" s="9" t="str">
        <f aca="false">Access_Grants!G166</f>
        <v>Standard Network User</v>
      </c>
      <c r="H166" s="9" t="str">
        <f aca="false">Access_Grants!H166</f>
        <v>Read</v>
      </c>
      <c r="I166" s="9" t="str">
        <f aca="false">Access_Grants!L166</f>
        <v>Active</v>
      </c>
      <c r="J166" s="10" t="n">
        <f aca="false">Access_Grants!I166</f>
        <v>45938</v>
      </c>
      <c r="K166" s="10" t="n">
        <f aca="false">IFERROR(INDEX(HR_Employees!$F$2:$F$51,MATCH(B166,HR_Employees!$A$2:$A$51,0)),"")</f>
        <v>0</v>
      </c>
      <c r="L166" s="10" t="str">
        <f aca="false">IF(Access_Grants!M166="","",Access_Grants!M166)</f>
        <v/>
      </c>
      <c r="M166" s="9" t="str">
        <f aca="false">IF(K166="","N/A - Active Employee",IF(OR(I166="Active",AND(L166&lt;&gt;"",L166&gt;K166+5)),"EXCEPTION: TERMINATED USER - ACCESS NOT REVOKED TIMELY","OK - Revoked Within SLA"))</f>
        <v>N/A - Active Employee</v>
      </c>
      <c r="N166" s="9" t="str">
        <f aca="false">Access_Grants!J166&amp;""</f>
        <v>MGR-08</v>
      </c>
      <c r="O166" s="9" t="str">
        <f aca="false">Access_Grants!K166&amp;""</f>
        <v>CHG-83889</v>
      </c>
      <c r="P166" s="9" t="str">
        <f aca="false">IF(OR(TRIM(N166)="",TRIM(O166)=""),"EXCEPTION: NO DOCUMENTED APPROVAL","OK - Approved")</f>
        <v>OK - Approved</v>
      </c>
      <c r="Q166" s="9" t="str">
        <f aca="false">IFERROR(INDEX(SoD_Conflict_Matrix!$D$2:$D$7,MATCH(F166,SoD_Conflict_Matrix!$B$2:$B$7,0)),IFERROR(INDEX(SoD_Conflict_Matrix!$B$2:$B$7,MATCH(F166,SoD_Conflict_Matrix!$D$2:$D$7,0)),""))</f>
        <v/>
      </c>
      <c r="R166" s="9" t="str">
        <f aca="false">IFERROR(INDEX(SoD_Conflict_Matrix!$E$2:$E$7,MATCH(F166,SoD_Conflict_Matrix!$B$2:$B$7,0)),IFERROR(INDEX(SoD_Conflict_Matrix!$C$2:$C$7,MATCH(F166,SoD_Conflict_Matrix!$D$2:$D$7,0)),""))</f>
        <v/>
      </c>
      <c r="S166" s="9" t="str">
        <f aca="false">IF(Q166="","No Conflict Rule Applies to This Role",IF(COUNTIFS(Access_Grants!$B$2:$B$175,B166,Access_Grants!$F$2:$F$175,Q166,Access_Grants!$L$2:$L$175,"Active")&gt;0,"EXCEPTION: SoD CONFLICT - ALSO HOLDS "&amp;R166,"OK - No Conflicting Role Held"))</f>
        <v>No Conflict Rule Applies to This Role</v>
      </c>
      <c r="T166" s="9" t="str">
        <f aca="false">IF(AND(H166="Admin",I166="Active"),IF(COUNTIFS(Recertifications!$B$2:$B$119,B166,Recertifications!$E$2:$E$119,F166,Recertifications!$K$2:$K$119,"&lt;&gt;")&gt;0,"OK - Recertified","EXCEPTION: PRIVILEGED ACCESS NEVER RECERTIFIED"),"N/A - Not Privileged")</f>
        <v>N/A - Not Privileged</v>
      </c>
      <c r="U166" s="9" t="str">
        <f aca="false">IF(OR(LEFT(M166,9)="EXCEPTION",LEFT(P166,9)="EXCEPTION",LEFT(S166,9)="EXCEPTION",LEFT(T166,9)="EXCEPTION"),"EXCEPTION","Clean")</f>
        <v>Clean</v>
      </c>
      <c r="V166" s="9" t="str">
        <f aca="false">IF(LEFT(M166,9)="EXCEPTION","Deprovisioning Control Gap",IF(LEFT(S166,9)="EXCEPTION","Segregation of Duties Conflict",IF(LEFT(P166,9)="EXCEPTION","Provisioning Approval Gap",IF(LEFT(T166,9)="EXCEPTION","Recertification Gap","N/A"))))</f>
        <v>N/A</v>
      </c>
    </row>
    <row r="167" customFormat="false" ht="15" hidden="false" customHeight="true" outlineLevel="0" collapsed="false">
      <c r="A167" s="9" t="str">
        <f aca="false">Access_Grants!A167</f>
        <v>AG-0166</v>
      </c>
      <c r="B167" s="9" t="str">
        <f aca="false">Access_Grants!B167</f>
        <v>E048</v>
      </c>
      <c r="C167" s="9" t="str">
        <f aca="false">Access_Grants!C167</f>
        <v>Noah Khan</v>
      </c>
      <c r="D167" s="9" t="str">
        <f aca="false">Access_Grants!D167</f>
        <v>Procurement</v>
      </c>
      <c r="E167" s="9" t="str">
        <f aca="false">Access_Grants!E167</f>
        <v>SYS-HRIS</v>
      </c>
      <c r="F167" s="9" t="str">
        <f aca="false">Access_Grants!F167</f>
        <v>R08</v>
      </c>
      <c r="G167" s="9" t="str">
        <f aca="false">Access_Grants!G167</f>
        <v>Employee Master Read-Only</v>
      </c>
      <c r="H167" s="9" t="str">
        <f aca="false">Access_Grants!H167</f>
        <v>Read</v>
      </c>
      <c r="I167" s="9" t="str">
        <f aca="false">Access_Grants!L167</f>
        <v>Active</v>
      </c>
      <c r="J167" s="10" t="n">
        <f aca="false">Access_Grants!I167</f>
        <v>46083</v>
      </c>
      <c r="K167" s="10" t="n">
        <f aca="false">IFERROR(INDEX(HR_Employees!$F$2:$F$51,MATCH(B167,HR_Employees!$A$2:$A$51,0)),"")</f>
        <v>0</v>
      </c>
      <c r="L167" s="10" t="str">
        <f aca="false">IF(Access_Grants!M167="","",Access_Grants!M167)</f>
        <v/>
      </c>
      <c r="M167" s="9" t="str">
        <f aca="false">IF(K167="","N/A - Active Employee",IF(OR(I167="Active",AND(L167&lt;&gt;"",L167&gt;K167+5)),"EXCEPTION: TERMINATED USER - ACCESS NOT REVOKED TIMELY","OK - Revoked Within SLA"))</f>
        <v>N/A - Active Employee</v>
      </c>
      <c r="N167" s="9" t="str">
        <f aca="false">Access_Grants!J167&amp;""</f>
        <v>System Auto-Provision</v>
      </c>
      <c r="O167" s="9" t="str">
        <f aca="false">Access_Grants!K167&amp;""</f>
        <v>CHG-93269</v>
      </c>
      <c r="P167" s="9" t="str">
        <f aca="false">IF(OR(TRIM(N167)="",TRIM(O167)=""),"EXCEPTION: NO DOCUMENTED APPROVAL","OK - Approved")</f>
        <v>OK - Approved</v>
      </c>
      <c r="Q167" s="9" t="str">
        <f aca="false">IFERROR(INDEX(SoD_Conflict_Matrix!$D$2:$D$7,MATCH(F167,SoD_Conflict_Matrix!$B$2:$B$7,0)),IFERROR(INDEX(SoD_Conflict_Matrix!$B$2:$B$7,MATCH(F167,SoD_Conflict_Matrix!$D$2:$D$7,0)),""))</f>
        <v/>
      </c>
      <c r="R167" s="9" t="str">
        <f aca="false">IFERROR(INDEX(SoD_Conflict_Matrix!$E$2:$E$7,MATCH(F167,SoD_Conflict_Matrix!$B$2:$B$7,0)),IFERROR(INDEX(SoD_Conflict_Matrix!$C$2:$C$7,MATCH(F167,SoD_Conflict_Matrix!$D$2:$D$7,0)),""))</f>
        <v/>
      </c>
      <c r="S167" s="9" t="str">
        <f aca="false">IF(Q167="","No Conflict Rule Applies to This Role",IF(COUNTIFS(Access_Grants!$B$2:$B$175,B167,Access_Grants!$F$2:$F$175,Q167,Access_Grants!$L$2:$L$175,"Active")&gt;0,"EXCEPTION: SoD CONFLICT - ALSO HOLDS "&amp;R167,"OK - No Conflicting Role Held"))</f>
        <v>No Conflict Rule Applies to This Role</v>
      </c>
      <c r="T167" s="9" t="str">
        <f aca="false">IF(AND(H167="Admin",I167="Active"),IF(COUNTIFS(Recertifications!$B$2:$B$119,B167,Recertifications!$E$2:$E$119,F167,Recertifications!$K$2:$K$119,"&lt;&gt;")&gt;0,"OK - Recertified","EXCEPTION: PRIVILEGED ACCESS NEVER RECERTIFIED"),"N/A - Not Privileged")</f>
        <v>N/A - Not Privileged</v>
      </c>
      <c r="U167" s="9" t="str">
        <f aca="false">IF(OR(LEFT(M167,9)="EXCEPTION",LEFT(P167,9)="EXCEPTION",LEFT(S167,9)="EXCEPTION",LEFT(T167,9)="EXCEPTION"),"EXCEPTION","Clean")</f>
        <v>Clean</v>
      </c>
      <c r="V167" s="9" t="str">
        <f aca="false">IF(LEFT(M167,9)="EXCEPTION","Deprovisioning Control Gap",IF(LEFT(S167,9)="EXCEPTION","Segregation of Duties Conflict",IF(LEFT(P167,9)="EXCEPTION","Provisioning Approval Gap",IF(LEFT(T167,9)="EXCEPTION","Recertification Gap","N/A"))))</f>
        <v>N/A</v>
      </c>
    </row>
    <row r="168" customFormat="false" ht="15" hidden="false" customHeight="true" outlineLevel="0" collapsed="false">
      <c r="A168" s="9" t="str">
        <f aca="false">Access_Grants!A168</f>
        <v>AG-0167</v>
      </c>
      <c r="B168" s="9" t="str">
        <f aca="false">Access_Grants!B168</f>
        <v>E048</v>
      </c>
      <c r="C168" s="9" t="str">
        <f aca="false">Access_Grants!C168</f>
        <v>Noah Khan</v>
      </c>
      <c r="D168" s="9" t="str">
        <f aca="false">Access_Grants!D168</f>
        <v>Procurement</v>
      </c>
      <c r="E168" s="9" t="str">
        <f aca="false">Access_Grants!E168</f>
        <v>SYS-ERP</v>
      </c>
      <c r="F168" s="9" t="str">
        <f aca="false">Access_Grants!F168</f>
        <v>R01</v>
      </c>
      <c r="G168" s="9" t="str">
        <f aca="false">Access_Grants!G168</f>
        <v>AP Invoice Entry</v>
      </c>
      <c r="H168" s="9" t="str">
        <f aca="false">Access_Grants!H168</f>
        <v>Write</v>
      </c>
      <c r="I168" s="9" t="str">
        <f aca="false">Access_Grants!L168</f>
        <v>Active</v>
      </c>
      <c r="J168" s="10" t="n">
        <f aca="false">Access_Grants!I168</f>
        <v>45574</v>
      </c>
      <c r="K168" s="10" t="n">
        <f aca="false">IFERROR(INDEX(HR_Employees!$F$2:$F$51,MATCH(B168,HR_Employees!$A$2:$A$51,0)),"")</f>
        <v>0</v>
      </c>
      <c r="L168" s="10" t="str">
        <f aca="false">IF(Access_Grants!M168="","",Access_Grants!M168)</f>
        <v/>
      </c>
      <c r="M168" s="9" t="str">
        <f aca="false">IF(K168="","N/A - Active Employee",IF(OR(I168="Active",AND(L168&lt;&gt;"",L168&gt;K168+5)),"EXCEPTION: TERMINATED USER - ACCESS NOT REVOKED TIMELY","OK - Revoked Within SLA"))</f>
        <v>N/A - Active Employee</v>
      </c>
      <c r="N168" s="9" t="str">
        <f aca="false">Access_Grants!J168&amp;""</f>
        <v/>
      </c>
      <c r="O168" s="9" t="str">
        <f aca="false">Access_Grants!K168&amp;""</f>
        <v>CHG-67640</v>
      </c>
      <c r="P168" s="9" t="str">
        <f aca="false">IF(OR(TRIM(N168)="",TRIM(O168)=""),"EXCEPTION: NO DOCUMENTED APPROVAL","OK - Approved")</f>
        <v>EXCEPTION: NO DOCUMENTED APPROVAL</v>
      </c>
      <c r="Q168" s="9" t="str">
        <f aca="false">IFERROR(INDEX(SoD_Conflict_Matrix!$D$2:$D$7,MATCH(F168,SoD_Conflict_Matrix!$B$2:$B$7,0)),IFERROR(INDEX(SoD_Conflict_Matrix!$B$2:$B$7,MATCH(F168,SoD_Conflict_Matrix!$D$2:$D$7,0)),""))</f>
        <v>R02</v>
      </c>
      <c r="R168" s="9" t="str">
        <f aca="false">IFERROR(INDEX(SoD_Conflict_Matrix!$E$2:$E$7,MATCH(F168,SoD_Conflict_Matrix!$B$2:$B$7,0)),IFERROR(INDEX(SoD_Conflict_Matrix!$C$2:$C$7,MATCH(F168,SoD_Conflict_Matrix!$D$2:$D$7,0)),""))</f>
        <v>AP Payment Approval</v>
      </c>
      <c r="S168" s="9" t="str">
        <f aca="false">IF(Q168="","No Conflict Rule Applies to This Role",IF(COUNTIFS(Access_Grants!$B$2:$B$175,B168,Access_Grants!$F$2:$F$175,Q168,Access_Grants!$L$2:$L$175,"Active")&gt;0,"EXCEPTION: SoD CONFLICT - ALSO HOLDS "&amp;R168,"OK - No Conflicting Role Held"))</f>
        <v>OK - No Conflicting Role Held</v>
      </c>
      <c r="T168" s="9" t="str">
        <f aca="false">IF(AND(H168="Admin",I168="Active"),IF(COUNTIFS(Recertifications!$B$2:$B$119,B168,Recertifications!$E$2:$E$119,F168,Recertifications!$K$2:$K$119,"&lt;&gt;")&gt;0,"OK - Recertified","EXCEPTION: PRIVILEGED ACCESS NEVER RECERTIFIED"),"N/A - Not Privileged")</f>
        <v>N/A - Not Privileged</v>
      </c>
      <c r="U168" s="9" t="str">
        <f aca="false">IF(OR(LEFT(M168,9)="EXCEPTION",LEFT(P168,9)="EXCEPTION",LEFT(S168,9)="EXCEPTION",LEFT(T168,9)="EXCEPTION"),"EXCEPTION","Clean")</f>
        <v>EXCEPTION</v>
      </c>
      <c r="V168" s="9" t="str">
        <f aca="false">IF(LEFT(M168,9)="EXCEPTION","Deprovisioning Control Gap",IF(LEFT(S168,9)="EXCEPTION","Segregation of Duties Conflict",IF(LEFT(P168,9)="EXCEPTION","Provisioning Approval Gap",IF(LEFT(T168,9)="EXCEPTION","Recertification Gap","N/A"))))</f>
        <v>Provisioning Approval Gap</v>
      </c>
    </row>
    <row r="169" customFormat="false" ht="15" hidden="false" customHeight="true" outlineLevel="0" collapsed="false">
      <c r="A169" s="9" t="str">
        <f aca="false">Access_Grants!A169</f>
        <v>AG-0168</v>
      </c>
      <c r="B169" s="9" t="str">
        <f aca="false">Access_Grants!B169</f>
        <v>E048</v>
      </c>
      <c r="C169" s="9" t="str">
        <f aca="false">Access_Grants!C169</f>
        <v>Noah Khan</v>
      </c>
      <c r="D169" s="9" t="str">
        <f aca="false">Access_Grants!D169</f>
        <v>Procurement</v>
      </c>
      <c r="E169" s="9" t="str">
        <f aca="false">Access_Grants!E169</f>
        <v>SYS-ERP</v>
      </c>
      <c r="F169" s="9" t="str">
        <f aca="false">Access_Grants!F169</f>
        <v>R03</v>
      </c>
      <c r="G169" s="9" t="str">
        <f aca="false">Access_Grants!G169</f>
        <v>Vendor Master Maintenance</v>
      </c>
      <c r="H169" s="9" t="str">
        <f aca="false">Access_Grants!H169</f>
        <v>Write</v>
      </c>
      <c r="I169" s="9" t="str">
        <f aca="false">Access_Grants!L169</f>
        <v>Active</v>
      </c>
      <c r="J169" s="10" t="n">
        <f aca="false">Access_Grants!I169</f>
        <v>45489</v>
      </c>
      <c r="K169" s="10" t="n">
        <f aca="false">IFERROR(INDEX(HR_Employees!$F$2:$F$51,MATCH(B169,HR_Employees!$A$2:$A$51,0)),"")</f>
        <v>0</v>
      </c>
      <c r="L169" s="10" t="str">
        <f aca="false">IF(Access_Grants!M169="","",Access_Grants!M169)</f>
        <v/>
      </c>
      <c r="M169" s="9" t="str">
        <f aca="false">IF(K169="","N/A - Active Employee",IF(OR(I169="Active",AND(L169&lt;&gt;"",L169&gt;K169+5)),"EXCEPTION: TERMINATED USER - ACCESS NOT REVOKED TIMELY","OK - Revoked Within SLA"))</f>
        <v>N/A - Active Employee</v>
      </c>
      <c r="N169" s="9" t="str">
        <f aca="false">Access_Grants!J169&amp;""</f>
        <v>MGR-10</v>
      </c>
      <c r="O169" s="9" t="str">
        <f aca="false">Access_Grants!K169&amp;""</f>
        <v>CHG-17362</v>
      </c>
      <c r="P169" s="9" t="str">
        <f aca="false">IF(OR(TRIM(N169)="",TRIM(O169)=""),"EXCEPTION: NO DOCUMENTED APPROVAL","OK - Approved")</f>
        <v>OK - Approved</v>
      </c>
      <c r="Q169" s="9" t="str">
        <f aca="false">IFERROR(INDEX(SoD_Conflict_Matrix!$D$2:$D$7,MATCH(F169,SoD_Conflict_Matrix!$B$2:$B$7,0)),IFERROR(INDEX(SoD_Conflict_Matrix!$B$2:$B$7,MATCH(F169,SoD_Conflict_Matrix!$D$2:$D$7,0)),""))</f>
        <v>R02</v>
      </c>
      <c r="R169" s="9" t="str">
        <f aca="false">IFERROR(INDEX(SoD_Conflict_Matrix!$E$2:$E$7,MATCH(F169,SoD_Conflict_Matrix!$B$2:$B$7,0)),IFERROR(INDEX(SoD_Conflict_Matrix!$C$2:$C$7,MATCH(F169,SoD_Conflict_Matrix!$D$2:$D$7,0)),""))</f>
        <v>AP Payment Approval</v>
      </c>
      <c r="S169" s="9" t="str">
        <f aca="false">IF(Q169="","No Conflict Rule Applies to This Role",IF(COUNTIFS(Access_Grants!$B$2:$B$175,B169,Access_Grants!$F$2:$F$175,Q169,Access_Grants!$L$2:$L$175,"Active")&gt;0,"EXCEPTION: SoD CONFLICT - ALSO HOLDS "&amp;R169,"OK - No Conflicting Role Held"))</f>
        <v>OK - No Conflicting Role Held</v>
      </c>
      <c r="T169" s="9" t="str">
        <f aca="false">IF(AND(H169="Admin",I169="Active"),IF(COUNTIFS(Recertifications!$B$2:$B$119,B169,Recertifications!$E$2:$E$119,F169,Recertifications!$K$2:$K$119,"&lt;&gt;")&gt;0,"OK - Recertified","EXCEPTION: PRIVILEGED ACCESS NEVER RECERTIFIED"),"N/A - Not Privileged")</f>
        <v>N/A - Not Privileged</v>
      </c>
      <c r="U169" s="9" t="str">
        <f aca="false">IF(OR(LEFT(M169,9)="EXCEPTION",LEFT(P169,9)="EXCEPTION",LEFT(S169,9)="EXCEPTION",LEFT(T169,9)="EXCEPTION"),"EXCEPTION","Clean")</f>
        <v>Clean</v>
      </c>
      <c r="V169" s="9" t="str">
        <f aca="false">IF(LEFT(M169,9)="EXCEPTION","Deprovisioning Control Gap",IF(LEFT(S169,9)="EXCEPTION","Segregation of Duties Conflict",IF(LEFT(P169,9)="EXCEPTION","Provisioning Approval Gap",IF(LEFT(T169,9)="EXCEPTION","Recertification Gap","N/A"))))</f>
        <v>N/A</v>
      </c>
    </row>
    <row r="170" customFormat="false" ht="15" hidden="false" customHeight="true" outlineLevel="0" collapsed="false">
      <c r="A170" s="9" t="str">
        <f aca="false">Access_Grants!A170</f>
        <v>AG-0169</v>
      </c>
      <c r="B170" s="9" t="str">
        <f aca="false">Access_Grants!B170</f>
        <v>E049</v>
      </c>
      <c r="C170" s="9" t="str">
        <f aca="false">Access_Grants!C170</f>
        <v>Ana Novak</v>
      </c>
      <c r="D170" s="9" t="str">
        <f aca="false">Access_Grants!D170</f>
        <v>Accounts Payable</v>
      </c>
      <c r="E170" s="9" t="str">
        <f aca="false">Access_Grants!E170</f>
        <v>SYS-ERP</v>
      </c>
      <c r="F170" s="9" t="str">
        <f aca="false">Access_Grants!F170</f>
        <v>R03</v>
      </c>
      <c r="G170" s="9" t="str">
        <f aca="false">Access_Grants!G170</f>
        <v>Vendor Master Maintenance</v>
      </c>
      <c r="H170" s="9" t="str">
        <f aca="false">Access_Grants!H170</f>
        <v>Write</v>
      </c>
      <c r="I170" s="9" t="str">
        <f aca="false">Access_Grants!L170</f>
        <v>Active</v>
      </c>
      <c r="J170" s="10" t="n">
        <f aca="false">Access_Grants!I170</f>
        <v>45220</v>
      </c>
      <c r="K170" s="10" t="n">
        <f aca="false">IFERROR(INDEX(HR_Employees!$F$2:$F$51,MATCH(B170,HR_Employees!$A$2:$A$51,0)),"")</f>
        <v>0</v>
      </c>
      <c r="L170" s="10" t="str">
        <f aca="false">IF(Access_Grants!M170="","",Access_Grants!M170)</f>
        <v/>
      </c>
      <c r="M170" s="9" t="str">
        <f aca="false">IF(K170="","N/A - Active Employee",IF(OR(I170="Active",AND(L170&lt;&gt;"",L170&gt;K170+5)),"EXCEPTION: TERMINATED USER - ACCESS NOT REVOKED TIMELY","OK - Revoked Within SLA"))</f>
        <v>N/A - Active Employee</v>
      </c>
      <c r="N170" s="9" t="str">
        <f aca="false">Access_Grants!J170&amp;""</f>
        <v>MGR-02</v>
      </c>
      <c r="O170" s="9" t="str">
        <f aca="false">Access_Grants!K170&amp;""</f>
        <v>CHG-94497</v>
      </c>
      <c r="P170" s="9" t="str">
        <f aca="false">IF(OR(TRIM(N170)="",TRIM(O170)=""),"EXCEPTION: NO DOCUMENTED APPROVAL","OK - Approved")</f>
        <v>OK - Approved</v>
      </c>
      <c r="Q170" s="9" t="str">
        <f aca="false">IFERROR(INDEX(SoD_Conflict_Matrix!$D$2:$D$7,MATCH(F170,SoD_Conflict_Matrix!$B$2:$B$7,0)),IFERROR(INDEX(SoD_Conflict_Matrix!$B$2:$B$7,MATCH(F170,SoD_Conflict_Matrix!$D$2:$D$7,0)),""))</f>
        <v>R02</v>
      </c>
      <c r="R170" s="9" t="str">
        <f aca="false">IFERROR(INDEX(SoD_Conflict_Matrix!$E$2:$E$7,MATCH(F170,SoD_Conflict_Matrix!$B$2:$B$7,0)),IFERROR(INDEX(SoD_Conflict_Matrix!$C$2:$C$7,MATCH(F170,SoD_Conflict_Matrix!$D$2:$D$7,0)),""))</f>
        <v>AP Payment Approval</v>
      </c>
      <c r="S170" s="9" t="str">
        <f aca="false">IF(Q170="","No Conflict Rule Applies to This Role",IF(COUNTIFS(Access_Grants!$B$2:$B$175,B170,Access_Grants!$F$2:$F$175,Q170,Access_Grants!$L$2:$L$175,"Active")&gt;0,"EXCEPTION: SoD CONFLICT - ALSO HOLDS "&amp;R170,"OK - No Conflicting Role Held"))</f>
        <v>EXCEPTION: SoD CONFLICT - ALSO HOLDS AP Payment Approval</v>
      </c>
      <c r="T170" s="9" t="str">
        <f aca="false">IF(AND(H170="Admin",I170="Active"),IF(COUNTIFS(Recertifications!$B$2:$B$119,B170,Recertifications!$E$2:$E$119,F170,Recertifications!$K$2:$K$119,"&lt;&gt;")&gt;0,"OK - Recertified","EXCEPTION: PRIVILEGED ACCESS NEVER RECERTIFIED"),"N/A - Not Privileged")</f>
        <v>N/A - Not Privileged</v>
      </c>
      <c r="U170" s="9" t="str">
        <f aca="false">IF(OR(LEFT(M170,9)="EXCEPTION",LEFT(P170,9)="EXCEPTION",LEFT(S170,9)="EXCEPTION",LEFT(T170,9)="EXCEPTION"),"EXCEPTION","Clean")</f>
        <v>EXCEPTION</v>
      </c>
      <c r="V170" s="9" t="str">
        <f aca="false">IF(LEFT(M170,9)="EXCEPTION","Deprovisioning Control Gap",IF(LEFT(S170,9)="EXCEPTION","Segregation of Duties Conflict",IF(LEFT(P170,9)="EXCEPTION","Provisioning Approval Gap",IF(LEFT(T170,9)="EXCEPTION","Recertification Gap","N/A"))))</f>
        <v>Segregation of Duties Conflict</v>
      </c>
    </row>
    <row r="171" customFormat="false" ht="15" hidden="false" customHeight="true" outlineLevel="0" collapsed="false">
      <c r="A171" s="9" t="str">
        <f aca="false">Access_Grants!A171</f>
        <v>AG-0170</v>
      </c>
      <c r="B171" s="9" t="str">
        <f aca="false">Access_Grants!B171</f>
        <v>E049</v>
      </c>
      <c r="C171" s="9" t="str">
        <f aca="false">Access_Grants!C171</f>
        <v>Ana Novak</v>
      </c>
      <c r="D171" s="9" t="str">
        <f aca="false">Access_Grants!D171</f>
        <v>Accounts Payable</v>
      </c>
      <c r="E171" s="9" t="str">
        <f aca="false">Access_Grants!E171</f>
        <v>SYS-ERP</v>
      </c>
      <c r="F171" s="9" t="str">
        <f aca="false">Access_Grants!F171</f>
        <v>R01</v>
      </c>
      <c r="G171" s="9" t="str">
        <f aca="false">Access_Grants!G171</f>
        <v>AP Invoice Entry</v>
      </c>
      <c r="H171" s="9" t="str">
        <f aca="false">Access_Grants!H171</f>
        <v>Write</v>
      </c>
      <c r="I171" s="9" t="str">
        <f aca="false">Access_Grants!L171</f>
        <v>Active</v>
      </c>
      <c r="J171" s="10" t="n">
        <f aca="false">Access_Grants!I171</f>
        <v>45446</v>
      </c>
      <c r="K171" s="10" t="n">
        <f aca="false">IFERROR(INDEX(HR_Employees!$F$2:$F$51,MATCH(B171,HR_Employees!$A$2:$A$51,0)),"")</f>
        <v>0</v>
      </c>
      <c r="L171" s="10" t="str">
        <f aca="false">IF(Access_Grants!M171="","",Access_Grants!M171)</f>
        <v/>
      </c>
      <c r="M171" s="9" t="str">
        <f aca="false">IF(K171="","N/A - Active Employee",IF(OR(I171="Active",AND(L171&lt;&gt;"",L171&gt;K171+5)),"EXCEPTION: TERMINATED USER - ACCESS NOT REVOKED TIMELY","OK - Revoked Within SLA"))</f>
        <v>N/A - Active Employee</v>
      </c>
      <c r="N171" s="9" t="str">
        <f aca="false">Access_Grants!J171&amp;""</f>
        <v>MGR-07</v>
      </c>
      <c r="O171" s="9" t="str">
        <f aca="false">Access_Grants!K171&amp;""</f>
        <v>CHG-70648</v>
      </c>
      <c r="P171" s="9" t="str">
        <f aca="false">IF(OR(TRIM(N171)="",TRIM(O171)=""),"EXCEPTION: NO DOCUMENTED APPROVAL","OK - Approved")</f>
        <v>OK - Approved</v>
      </c>
      <c r="Q171" s="9" t="str">
        <f aca="false">IFERROR(INDEX(SoD_Conflict_Matrix!$D$2:$D$7,MATCH(F171,SoD_Conflict_Matrix!$B$2:$B$7,0)),IFERROR(INDEX(SoD_Conflict_Matrix!$B$2:$B$7,MATCH(F171,SoD_Conflict_Matrix!$D$2:$D$7,0)),""))</f>
        <v>R02</v>
      </c>
      <c r="R171" s="9" t="str">
        <f aca="false">IFERROR(INDEX(SoD_Conflict_Matrix!$E$2:$E$7,MATCH(F171,SoD_Conflict_Matrix!$B$2:$B$7,0)),IFERROR(INDEX(SoD_Conflict_Matrix!$C$2:$C$7,MATCH(F171,SoD_Conflict_Matrix!$D$2:$D$7,0)),""))</f>
        <v>AP Payment Approval</v>
      </c>
      <c r="S171" s="9" t="str">
        <f aca="false">IF(Q171="","No Conflict Rule Applies to This Role",IF(COUNTIFS(Access_Grants!$B$2:$B$175,B171,Access_Grants!$F$2:$F$175,Q171,Access_Grants!$L$2:$L$175,"Active")&gt;0,"EXCEPTION: SoD CONFLICT - ALSO HOLDS "&amp;R171,"OK - No Conflicting Role Held"))</f>
        <v>EXCEPTION: SoD CONFLICT - ALSO HOLDS AP Payment Approval</v>
      </c>
      <c r="T171" s="9" t="str">
        <f aca="false">IF(AND(H171="Admin",I171="Active"),IF(COUNTIFS(Recertifications!$B$2:$B$119,B171,Recertifications!$E$2:$E$119,F171,Recertifications!$K$2:$K$119,"&lt;&gt;")&gt;0,"OK - Recertified","EXCEPTION: PRIVILEGED ACCESS NEVER RECERTIFIED"),"N/A - Not Privileged")</f>
        <v>N/A - Not Privileged</v>
      </c>
      <c r="U171" s="9" t="str">
        <f aca="false">IF(OR(LEFT(M171,9)="EXCEPTION",LEFT(P171,9)="EXCEPTION",LEFT(S171,9)="EXCEPTION",LEFT(T171,9)="EXCEPTION"),"EXCEPTION","Clean")</f>
        <v>EXCEPTION</v>
      </c>
      <c r="V171" s="9" t="str">
        <f aca="false">IF(LEFT(M171,9)="EXCEPTION","Deprovisioning Control Gap",IF(LEFT(S171,9)="EXCEPTION","Segregation of Duties Conflict",IF(LEFT(P171,9)="EXCEPTION","Provisioning Approval Gap",IF(LEFT(T171,9)="EXCEPTION","Recertification Gap","N/A"))))</f>
        <v>Segregation of Duties Conflict</v>
      </c>
    </row>
    <row r="172" customFormat="false" ht="15" hidden="false" customHeight="true" outlineLevel="0" collapsed="false">
      <c r="A172" s="9" t="str">
        <f aca="false">Access_Grants!A172</f>
        <v>AG-0171</v>
      </c>
      <c r="B172" s="9" t="str">
        <f aca="false">Access_Grants!B172</f>
        <v>E049</v>
      </c>
      <c r="C172" s="9" t="str">
        <f aca="false">Access_Grants!C172</f>
        <v>Ana Novak</v>
      </c>
      <c r="D172" s="9" t="str">
        <f aca="false">Access_Grants!D172</f>
        <v>Accounts Payable</v>
      </c>
      <c r="E172" s="9" t="str">
        <f aca="false">Access_Grants!E172</f>
        <v>SYS-ERP</v>
      </c>
      <c r="F172" s="9" t="str">
        <f aca="false">Access_Grants!F172</f>
        <v>R02</v>
      </c>
      <c r="G172" s="9" t="str">
        <f aca="false">Access_Grants!G172</f>
        <v>AP Payment Approval</v>
      </c>
      <c r="H172" s="9" t="str">
        <f aca="false">Access_Grants!H172</f>
        <v>Write</v>
      </c>
      <c r="I172" s="9" t="str">
        <f aca="false">Access_Grants!L172</f>
        <v>Active</v>
      </c>
      <c r="J172" s="10" t="n">
        <f aca="false">Access_Grants!I172</f>
        <v>44969</v>
      </c>
      <c r="K172" s="10" t="n">
        <f aca="false">IFERROR(INDEX(HR_Employees!$F$2:$F$51,MATCH(B172,HR_Employees!$A$2:$A$51,0)),"")</f>
        <v>0</v>
      </c>
      <c r="L172" s="10" t="str">
        <f aca="false">IF(Access_Grants!M172="","",Access_Grants!M172)</f>
        <v/>
      </c>
      <c r="M172" s="9" t="str">
        <f aca="false">IF(K172="","N/A - Active Employee",IF(OR(I172="Active",AND(L172&lt;&gt;"",L172&gt;K172+5)),"EXCEPTION: TERMINATED USER - ACCESS NOT REVOKED TIMELY","OK - Revoked Within SLA"))</f>
        <v>N/A - Active Employee</v>
      </c>
      <c r="N172" s="9" t="str">
        <f aca="false">Access_Grants!J172&amp;""</f>
        <v>MGR-08</v>
      </c>
      <c r="O172" s="9" t="str">
        <f aca="false">Access_Grants!K172&amp;""</f>
        <v>CHG-84928</v>
      </c>
      <c r="P172" s="9" t="str">
        <f aca="false">IF(OR(TRIM(N172)="",TRIM(O172)=""),"EXCEPTION: NO DOCUMENTED APPROVAL","OK - Approved")</f>
        <v>OK - Approved</v>
      </c>
      <c r="Q172" s="9" t="str">
        <f aca="false">IFERROR(INDEX(SoD_Conflict_Matrix!$D$2:$D$7,MATCH(F172,SoD_Conflict_Matrix!$B$2:$B$7,0)),IFERROR(INDEX(SoD_Conflict_Matrix!$B$2:$B$7,MATCH(F172,SoD_Conflict_Matrix!$D$2:$D$7,0)),""))</f>
        <v>R01</v>
      </c>
      <c r="R172" s="9" t="str">
        <f aca="false">IFERROR(INDEX(SoD_Conflict_Matrix!$E$2:$E$7,MATCH(F172,SoD_Conflict_Matrix!$B$2:$B$7,0)),IFERROR(INDEX(SoD_Conflict_Matrix!$C$2:$C$7,MATCH(F172,SoD_Conflict_Matrix!$D$2:$D$7,0)),""))</f>
        <v>AP Invoice Entry</v>
      </c>
      <c r="S172" s="9" t="str">
        <f aca="false">IF(Q172="","No Conflict Rule Applies to This Role",IF(COUNTIFS(Access_Grants!$B$2:$B$175,B172,Access_Grants!$F$2:$F$175,Q172,Access_Grants!$L$2:$L$175,"Active")&gt;0,"EXCEPTION: SoD CONFLICT - ALSO HOLDS "&amp;R172,"OK - No Conflicting Role Held"))</f>
        <v>EXCEPTION: SoD CONFLICT - ALSO HOLDS AP Invoice Entry</v>
      </c>
      <c r="T172" s="9" t="str">
        <f aca="false">IF(AND(H172="Admin",I172="Active"),IF(COUNTIFS(Recertifications!$B$2:$B$119,B172,Recertifications!$E$2:$E$119,F172,Recertifications!$K$2:$K$119,"&lt;&gt;")&gt;0,"OK - Recertified","EXCEPTION: PRIVILEGED ACCESS NEVER RECERTIFIED"),"N/A - Not Privileged")</f>
        <v>N/A - Not Privileged</v>
      </c>
      <c r="U172" s="9" t="str">
        <f aca="false">IF(OR(LEFT(M172,9)="EXCEPTION",LEFT(P172,9)="EXCEPTION",LEFT(S172,9)="EXCEPTION",LEFT(T172,9)="EXCEPTION"),"EXCEPTION","Clean")</f>
        <v>EXCEPTION</v>
      </c>
      <c r="V172" s="9" t="str">
        <f aca="false">IF(LEFT(M172,9)="EXCEPTION","Deprovisioning Control Gap",IF(LEFT(S172,9)="EXCEPTION","Segregation of Duties Conflict",IF(LEFT(P172,9)="EXCEPTION","Provisioning Approval Gap",IF(LEFT(T172,9)="EXCEPTION","Recertification Gap","N/A"))))</f>
        <v>Segregation of Duties Conflict</v>
      </c>
    </row>
    <row r="173" customFormat="false" ht="15" hidden="false" customHeight="true" outlineLevel="0" collapsed="false">
      <c r="A173" s="9" t="str">
        <f aca="false">Access_Grants!A173</f>
        <v>AG-0172</v>
      </c>
      <c r="B173" s="9" t="str">
        <f aca="false">Access_Grants!B173</f>
        <v>E050</v>
      </c>
      <c r="C173" s="9" t="str">
        <f aca="false">Access_Grants!C173</f>
        <v>Ana Silva</v>
      </c>
      <c r="D173" s="9" t="str">
        <f aca="false">Access_Grants!D173</f>
        <v>IT Operations</v>
      </c>
      <c r="E173" s="9" t="str">
        <f aca="false">Access_Grants!E173</f>
        <v>SYS-AD</v>
      </c>
      <c r="F173" s="9" t="str">
        <f aca="false">Access_Grants!F173</f>
        <v>R09</v>
      </c>
      <c r="G173" s="9" t="str">
        <f aca="false">Access_Grants!G173</f>
        <v>Standard Network User</v>
      </c>
      <c r="H173" s="9" t="str">
        <f aca="false">Access_Grants!H173</f>
        <v>Read</v>
      </c>
      <c r="I173" s="9" t="str">
        <f aca="false">Access_Grants!L173</f>
        <v>Revoked</v>
      </c>
      <c r="J173" s="10" t="n">
        <f aca="false">Access_Grants!I173</f>
        <v>45630</v>
      </c>
      <c r="K173" s="10" t="n">
        <f aca="false">IFERROR(INDEX(HR_Employees!$F$2:$F$51,MATCH(B173,HR_Employees!$A$2:$A$51,0)),"")</f>
        <v>0</v>
      </c>
      <c r="L173" s="10" t="n">
        <f aca="false">IF(Access_Grants!M173="","",Access_Grants!M173)</f>
        <v>46078</v>
      </c>
      <c r="M173" s="9" t="str">
        <f aca="false">IF(K173="","N/A - Active Employee",IF(OR(I173="Active",AND(L173&lt;&gt;"",L173&gt;K173+5)),"EXCEPTION: TERMINATED USER - ACCESS NOT REVOKED TIMELY","OK - Revoked Within SLA"))</f>
        <v>N/A - Active Employee</v>
      </c>
      <c r="N173" s="9" t="str">
        <f aca="false">Access_Grants!J173&amp;""</f>
        <v>MGR-02</v>
      </c>
      <c r="O173" s="9" t="str">
        <f aca="false">Access_Grants!K173&amp;""</f>
        <v>CHG-76132</v>
      </c>
      <c r="P173" s="9" t="str">
        <f aca="false">IF(OR(TRIM(N173)="",TRIM(O173)=""),"EXCEPTION: NO DOCUMENTED APPROVAL","OK - Approved")</f>
        <v>OK - Approved</v>
      </c>
      <c r="Q173" s="9" t="str">
        <f aca="false">IFERROR(INDEX(SoD_Conflict_Matrix!$D$2:$D$7,MATCH(F173,SoD_Conflict_Matrix!$B$2:$B$7,0)),IFERROR(INDEX(SoD_Conflict_Matrix!$B$2:$B$7,MATCH(F173,SoD_Conflict_Matrix!$D$2:$D$7,0)),""))</f>
        <v/>
      </c>
      <c r="R173" s="9" t="str">
        <f aca="false">IFERROR(INDEX(SoD_Conflict_Matrix!$E$2:$E$7,MATCH(F173,SoD_Conflict_Matrix!$B$2:$B$7,0)),IFERROR(INDEX(SoD_Conflict_Matrix!$C$2:$C$7,MATCH(F173,SoD_Conflict_Matrix!$D$2:$D$7,0)),""))</f>
        <v/>
      </c>
      <c r="S173" s="9" t="str">
        <f aca="false">IF(Q173="","No Conflict Rule Applies to This Role",IF(COUNTIFS(Access_Grants!$B$2:$B$175,B173,Access_Grants!$F$2:$F$175,Q173,Access_Grants!$L$2:$L$175,"Active")&gt;0,"EXCEPTION: SoD CONFLICT - ALSO HOLDS "&amp;R173,"OK - No Conflicting Role Held"))</f>
        <v>No Conflict Rule Applies to This Role</v>
      </c>
      <c r="T173" s="9" t="str">
        <f aca="false">IF(AND(H173="Admin",I173="Active"),IF(COUNTIFS(Recertifications!$B$2:$B$119,B173,Recertifications!$E$2:$E$119,F173,Recertifications!$K$2:$K$119,"&lt;&gt;")&gt;0,"OK - Recertified","EXCEPTION: PRIVILEGED ACCESS NEVER RECERTIFIED"),"N/A - Not Privileged")</f>
        <v>N/A - Not Privileged</v>
      </c>
      <c r="U173" s="9" t="str">
        <f aca="false">IF(OR(LEFT(M173,9)="EXCEPTION",LEFT(P173,9)="EXCEPTION",LEFT(S173,9)="EXCEPTION",LEFT(T173,9)="EXCEPTION"),"EXCEPTION","Clean")</f>
        <v>Clean</v>
      </c>
      <c r="V173" s="9" t="str">
        <f aca="false">IF(LEFT(M173,9)="EXCEPTION","Deprovisioning Control Gap",IF(LEFT(S173,9)="EXCEPTION","Segregation of Duties Conflict",IF(LEFT(P173,9)="EXCEPTION","Provisioning Approval Gap",IF(LEFT(T173,9)="EXCEPTION","Recertification Gap","N/A"))))</f>
        <v>N/A</v>
      </c>
    </row>
    <row r="174" customFormat="false" ht="15" hidden="false" customHeight="true" outlineLevel="0" collapsed="false">
      <c r="A174" s="9" t="str">
        <f aca="false">Access_Grants!A174</f>
        <v>AG-0173</v>
      </c>
      <c r="B174" s="9" t="str">
        <f aca="false">Access_Grants!B174</f>
        <v>E050</v>
      </c>
      <c r="C174" s="9" t="str">
        <f aca="false">Access_Grants!C174</f>
        <v>Ana Silva</v>
      </c>
      <c r="D174" s="9" t="str">
        <f aca="false">Access_Grants!D174</f>
        <v>IT Operations</v>
      </c>
      <c r="E174" s="9" t="str">
        <f aca="false">Access_Grants!E174</f>
        <v>SYS-AD</v>
      </c>
      <c r="F174" s="9" t="str">
        <f aca="false">Access_Grants!F174</f>
        <v>R10</v>
      </c>
      <c r="G174" s="9" t="str">
        <f aca="false">Access_Grants!G174</f>
        <v>Domain Administrator</v>
      </c>
      <c r="H174" s="9" t="str">
        <f aca="false">Access_Grants!H174</f>
        <v>Admin</v>
      </c>
      <c r="I174" s="9" t="str">
        <f aca="false">Access_Grants!L174</f>
        <v>Active</v>
      </c>
      <c r="J174" s="10" t="n">
        <f aca="false">Access_Grants!I174</f>
        <v>45826</v>
      </c>
      <c r="K174" s="10" t="n">
        <f aca="false">IFERROR(INDEX(HR_Employees!$F$2:$F$51,MATCH(B174,HR_Employees!$A$2:$A$51,0)),"")</f>
        <v>0</v>
      </c>
      <c r="L174" s="10" t="str">
        <f aca="false">IF(Access_Grants!M174="","",Access_Grants!M174)</f>
        <v/>
      </c>
      <c r="M174" s="9" t="str">
        <f aca="false">IF(K174="","N/A - Active Employee",IF(OR(I174="Active",AND(L174&lt;&gt;"",L174&gt;K174+5)),"EXCEPTION: TERMINATED USER - ACCESS NOT REVOKED TIMELY","OK - Revoked Within SLA"))</f>
        <v>N/A - Active Employee</v>
      </c>
      <c r="N174" s="9" t="str">
        <f aca="false">Access_Grants!J174&amp;""</f>
        <v>MGR-09</v>
      </c>
      <c r="O174" s="9" t="str">
        <f aca="false">Access_Grants!K174&amp;""</f>
        <v>CHG-78517</v>
      </c>
      <c r="P174" s="9" t="str">
        <f aca="false">IF(OR(TRIM(N174)="",TRIM(O174)=""),"EXCEPTION: NO DOCUMENTED APPROVAL","OK - Approved")</f>
        <v>OK - Approved</v>
      </c>
      <c r="Q174" s="9" t="str">
        <f aca="false">IFERROR(INDEX(SoD_Conflict_Matrix!$D$2:$D$7,MATCH(F174,SoD_Conflict_Matrix!$B$2:$B$7,0)),IFERROR(INDEX(SoD_Conflict_Matrix!$B$2:$B$7,MATCH(F174,SoD_Conflict_Matrix!$D$2:$D$7,0)),""))</f>
        <v/>
      </c>
      <c r="R174" s="9" t="str">
        <f aca="false">IFERROR(INDEX(SoD_Conflict_Matrix!$E$2:$E$7,MATCH(F174,SoD_Conflict_Matrix!$B$2:$B$7,0)),IFERROR(INDEX(SoD_Conflict_Matrix!$C$2:$C$7,MATCH(F174,SoD_Conflict_Matrix!$D$2:$D$7,0)),""))</f>
        <v/>
      </c>
      <c r="S174" s="9" t="str">
        <f aca="false">IF(Q174="","No Conflict Rule Applies to This Role",IF(COUNTIFS(Access_Grants!$B$2:$B$175,B174,Access_Grants!$F$2:$F$175,Q174,Access_Grants!$L$2:$L$175,"Active")&gt;0,"EXCEPTION: SoD CONFLICT - ALSO HOLDS "&amp;R174,"OK - No Conflicting Role Held"))</f>
        <v>No Conflict Rule Applies to This Role</v>
      </c>
      <c r="T174" s="9" t="str">
        <f aca="false">IF(AND(H174="Admin",I174="Active"),IF(COUNTIFS(Recertifications!$B$2:$B$119,B174,Recertifications!$E$2:$E$119,F174,Recertifications!$K$2:$K$119,"&lt;&gt;")&gt;0,"OK - Recertified","EXCEPTION: PRIVILEGED ACCESS NEVER RECERTIFIED"),"N/A - Not Privileged")</f>
        <v>OK - Recertified</v>
      </c>
      <c r="U174" s="9" t="str">
        <f aca="false">IF(OR(LEFT(M174,9)="EXCEPTION",LEFT(P174,9)="EXCEPTION",LEFT(S174,9)="EXCEPTION",LEFT(T174,9)="EXCEPTION"),"EXCEPTION","Clean")</f>
        <v>Clean</v>
      </c>
      <c r="V174" s="9" t="str">
        <f aca="false">IF(LEFT(M174,9)="EXCEPTION","Deprovisioning Control Gap",IF(LEFT(S174,9)="EXCEPTION","Segregation of Duties Conflict",IF(LEFT(P174,9)="EXCEPTION","Provisioning Approval Gap",IF(LEFT(T174,9)="EXCEPTION","Recertification Gap","N/A"))))</f>
        <v>N/A</v>
      </c>
    </row>
    <row r="175" customFormat="false" ht="15" hidden="false" customHeight="true" outlineLevel="0" collapsed="false">
      <c r="A175" s="9" t="str">
        <f aca="false">Access_Grants!A175</f>
        <v>AG-0174</v>
      </c>
      <c r="B175" s="9" t="str">
        <f aca="false">Access_Grants!B175</f>
        <v>E050</v>
      </c>
      <c r="C175" s="9" t="str">
        <f aca="false">Access_Grants!C175</f>
        <v>Ana Silva</v>
      </c>
      <c r="D175" s="9" t="str">
        <f aca="false">Access_Grants!D175</f>
        <v>IT Operations</v>
      </c>
      <c r="E175" s="9" t="str">
        <f aca="false">Access_Grants!E175</f>
        <v>SYS-HRIS</v>
      </c>
      <c r="F175" s="9" t="str">
        <f aca="false">Access_Grants!F175</f>
        <v>R08</v>
      </c>
      <c r="G175" s="9" t="str">
        <f aca="false">Access_Grants!G175</f>
        <v>Employee Master Read-Only</v>
      </c>
      <c r="H175" s="9" t="str">
        <f aca="false">Access_Grants!H175</f>
        <v>Read</v>
      </c>
      <c r="I175" s="9" t="str">
        <f aca="false">Access_Grants!L175</f>
        <v>Active</v>
      </c>
      <c r="J175" s="10" t="n">
        <f aca="false">Access_Grants!I175</f>
        <v>45506</v>
      </c>
      <c r="K175" s="10" t="n">
        <f aca="false">IFERROR(INDEX(HR_Employees!$F$2:$F$51,MATCH(B175,HR_Employees!$A$2:$A$51,0)),"")</f>
        <v>0</v>
      </c>
      <c r="L175" s="10" t="str">
        <f aca="false">IF(Access_Grants!M175="","",Access_Grants!M175)</f>
        <v/>
      </c>
      <c r="M175" s="9" t="str">
        <f aca="false">IF(K175="","N/A - Active Employee",IF(OR(I175="Active",AND(L175&lt;&gt;"",L175&gt;K175+5)),"EXCEPTION: TERMINATED USER - ACCESS NOT REVOKED TIMELY","OK - Revoked Within SLA"))</f>
        <v>N/A - Active Employee</v>
      </c>
      <c r="N175" s="9" t="str">
        <f aca="false">Access_Grants!J175&amp;""</f>
        <v>MGR-07</v>
      </c>
      <c r="O175" s="9" t="str">
        <f aca="false">Access_Grants!K175&amp;""</f>
        <v>CHG-63578</v>
      </c>
      <c r="P175" s="9" t="str">
        <f aca="false">IF(OR(TRIM(N175)="",TRIM(O175)=""),"EXCEPTION: NO DOCUMENTED APPROVAL","OK - Approved")</f>
        <v>OK - Approved</v>
      </c>
      <c r="Q175" s="9" t="str">
        <f aca="false">IFERROR(INDEX(SoD_Conflict_Matrix!$D$2:$D$7,MATCH(F175,SoD_Conflict_Matrix!$B$2:$B$7,0)),IFERROR(INDEX(SoD_Conflict_Matrix!$B$2:$B$7,MATCH(F175,SoD_Conflict_Matrix!$D$2:$D$7,0)),""))</f>
        <v/>
      </c>
      <c r="R175" s="9" t="str">
        <f aca="false">IFERROR(INDEX(SoD_Conflict_Matrix!$E$2:$E$7,MATCH(F175,SoD_Conflict_Matrix!$B$2:$B$7,0)),IFERROR(INDEX(SoD_Conflict_Matrix!$C$2:$C$7,MATCH(F175,SoD_Conflict_Matrix!$D$2:$D$7,0)),""))</f>
        <v/>
      </c>
      <c r="S175" s="9" t="str">
        <f aca="false">IF(Q175="","No Conflict Rule Applies to This Role",IF(COUNTIFS(Access_Grants!$B$2:$B$175,B175,Access_Grants!$F$2:$F$175,Q175,Access_Grants!$L$2:$L$175,"Active")&gt;0,"EXCEPTION: SoD CONFLICT - ALSO HOLDS "&amp;R175,"OK - No Conflicting Role Held"))</f>
        <v>No Conflict Rule Applies to This Role</v>
      </c>
      <c r="T175" s="9" t="str">
        <f aca="false">IF(AND(H175="Admin",I175="Active"),IF(COUNTIFS(Recertifications!$B$2:$B$119,B175,Recertifications!$E$2:$E$119,F175,Recertifications!$K$2:$K$119,"&lt;&gt;")&gt;0,"OK - Recertified","EXCEPTION: PRIVILEGED ACCESS NEVER RECERTIFIED"),"N/A - Not Privileged")</f>
        <v>N/A - Not Privileged</v>
      </c>
      <c r="U175" s="9" t="str">
        <f aca="false">IF(OR(LEFT(M175,9)="EXCEPTION",LEFT(P175,9)="EXCEPTION",LEFT(S175,9)="EXCEPTION",LEFT(T175,9)="EXCEPTION"),"EXCEPTION","Clean")</f>
        <v>Clean</v>
      </c>
      <c r="V175" s="9" t="str">
        <f aca="false">IF(LEFT(M175,9)="EXCEPTION","Deprovisioning Control Gap",IF(LEFT(S175,9)="EXCEPTION","Segregation of Duties Conflict",IF(LEFT(P175,9)="EXCEPTION","Provisioning Approval Gap",IF(LEFT(T175,9)="EXCEPTION","Recertification Gap","N/A"))))</f>
        <v>N/A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L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4" min="3" style="1" width="14"/>
    <col collapsed="false" customWidth="true" hidden="false" outlineLevel="0" max="5" min="5" style="1" width="16"/>
    <col collapsed="false" customWidth="true" hidden="false" outlineLevel="0" max="6" min="6" style="1" width="3"/>
    <col collapsed="false" customWidth="true" hidden="false" outlineLevel="0" max="7" min="7" style="1" width="30"/>
    <col collapsed="false" customWidth="true" hidden="false" outlineLevel="0" max="9" min="8" style="1" width="14"/>
    <col collapsed="false" customWidth="true" hidden="false" outlineLevel="0" max="10" min="10" style="1" width="16"/>
  </cols>
  <sheetData>
    <row r="2" customFormat="false" ht="19.5" hidden="false" customHeight="true" outlineLevel="0" collapsed="false">
      <c r="B2" s="2" t="s">
        <v>701</v>
      </c>
    </row>
    <row r="3" customFormat="false" ht="27.75" hidden="false" customHeight="true" outlineLevel="0" collapsed="false">
      <c r="B3" s="3" t="s">
        <v>702</v>
      </c>
      <c r="C3" s="3"/>
      <c r="D3" s="3"/>
      <c r="E3" s="3"/>
      <c r="F3" s="3"/>
      <c r="G3" s="3"/>
      <c r="H3" s="3"/>
      <c r="I3" s="3"/>
      <c r="J3" s="3"/>
      <c r="K3" s="3"/>
    </row>
    <row r="5" customFormat="false" ht="15" hidden="false" customHeight="true" outlineLevel="0" collapsed="false">
      <c r="B5" s="12" t="s">
        <v>703</v>
      </c>
      <c r="C5" s="12"/>
      <c r="E5" s="12" t="s">
        <v>704</v>
      </c>
      <c r="F5" s="12"/>
      <c r="H5" s="12" t="s">
        <v>705</v>
      </c>
      <c r="I5" s="12"/>
      <c r="K5" s="12" t="s">
        <v>706</v>
      </c>
      <c r="L5" s="12"/>
    </row>
    <row r="6" customFormat="false" ht="30" hidden="false" customHeight="true" outlineLevel="0" collapsed="false">
      <c r="B6" s="13" t="n">
        <f aca="false">COUNTA(AuditTesting[GrantID])</f>
        <v>174</v>
      </c>
      <c r="C6" s="13"/>
      <c r="E6" s="13" t="n">
        <f aca="false">COUNTIF(AuditTesting[Overall_Exception],"EXCEPTION")</f>
        <v>78</v>
      </c>
      <c r="F6" s="13"/>
      <c r="H6" s="14" t="n">
        <f aca="false">E6/B6</f>
        <v>0.448275862068966</v>
      </c>
      <c r="I6" s="14"/>
      <c r="K6" s="13" t="n">
        <f aca="false">COUNTIF(AuditTesting[AccessLevel],"Admin")</f>
        <v>30</v>
      </c>
      <c r="L6" s="13"/>
    </row>
    <row r="9" customFormat="false" ht="15" hidden="false" customHeight="true" outlineLevel="0" collapsed="false">
      <c r="B9" s="15" t="s">
        <v>707</v>
      </c>
      <c r="C9" s="15"/>
      <c r="D9" s="15"/>
      <c r="E9" s="15"/>
      <c r="F9" s="15"/>
      <c r="G9" s="15" t="s">
        <v>708</v>
      </c>
      <c r="H9" s="15"/>
      <c r="I9" s="15"/>
      <c r="J9" s="15"/>
    </row>
    <row r="10" customFormat="false" ht="15" hidden="false" customHeight="true" outlineLevel="0" collapsed="false">
      <c r="B10" s="8" t="s">
        <v>31</v>
      </c>
      <c r="C10" s="8" t="s">
        <v>709</v>
      </c>
      <c r="D10" s="8" t="s">
        <v>710</v>
      </c>
      <c r="E10" s="8" t="s">
        <v>711</v>
      </c>
      <c r="G10" s="8" t="s">
        <v>712</v>
      </c>
      <c r="H10" s="8" t="s">
        <v>709</v>
      </c>
      <c r="I10" s="8" t="s">
        <v>710</v>
      </c>
      <c r="J10" s="8" t="s">
        <v>711</v>
      </c>
    </row>
    <row r="11" customFormat="false" ht="15" hidden="false" customHeight="true" outlineLevel="0" collapsed="false">
      <c r="B11" s="9" t="s">
        <v>60</v>
      </c>
      <c r="C11" s="9" t="n">
        <f aca="false">COUNTIF(AuditTesting[Department],B11)</f>
        <v>27</v>
      </c>
      <c r="D11" s="9" t="n">
        <f aca="false">COUNTIFS(AuditTesting[Department],B11,AuditTesting[Overall_Exception],"EXCEPTION")</f>
        <v>16</v>
      </c>
      <c r="E11" s="16" t="n">
        <f aca="false">IF(C11=0,0,D11/C11)</f>
        <v>0.592592592592593</v>
      </c>
      <c r="G11" s="9" t="s">
        <v>713</v>
      </c>
      <c r="H11" s="9" t="n">
        <f aca="false">COUNTIF(AuditTesting[SystemID],"SYS-ERP")</f>
        <v>53</v>
      </c>
      <c r="I11" s="9" t="n">
        <f aca="false">COUNTIFS(AuditTesting[SystemID],"SYS-ERP",AuditTesting[Overall_Exception],"EXCEPTION")</f>
        <v>27</v>
      </c>
      <c r="J11" s="16" t="n">
        <f aca="false">IF(H11=0,0,I11/H11)</f>
        <v>0.509433962264151</v>
      </c>
    </row>
    <row r="12" customFormat="false" ht="15" hidden="false" customHeight="true" outlineLevel="0" collapsed="false">
      <c r="B12" s="9" t="s">
        <v>65</v>
      </c>
      <c r="C12" s="9" t="n">
        <f aca="false">COUNTIF(AuditTesting[Department],B12)</f>
        <v>16</v>
      </c>
      <c r="D12" s="9" t="n">
        <f aca="false">COUNTIFS(AuditTesting[Department],B12,AuditTesting[Overall_Exception],"EXCEPTION")</f>
        <v>5</v>
      </c>
      <c r="E12" s="16" t="n">
        <f aca="false">IF(C12=0,0,D12/C12)</f>
        <v>0.3125</v>
      </c>
      <c r="G12" s="9" t="s">
        <v>714</v>
      </c>
      <c r="H12" s="9" t="n">
        <f aca="false">COUNTIF(AuditTesting[SystemID],"SYS-HRIS")</f>
        <v>53</v>
      </c>
      <c r="I12" s="9" t="n">
        <f aca="false">COUNTIFS(AuditTesting[SystemID],"SYS-HRIS",AuditTesting[Overall_Exception],"EXCEPTION")</f>
        <v>26</v>
      </c>
      <c r="J12" s="16" t="n">
        <f aca="false">IF(H12=0,0,I12/H12)</f>
        <v>0.490566037735849</v>
      </c>
    </row>
    <row r="13" customFormat="false" ht="15" hidden="false" customHeight="true" outlineLevel="0" collapsed="false">
      <c r="B13" s="9" t="s">
        <v>81</v>
      </c>
      <c r="C13" s="9" t="n">
        <f aca="false">COUNTIF(AuditTesting[Department],B13)</f>
        <v>15</v>
      </c>
      <c r="D13" s="9" t="n">
        <f aca="false">COUNTIFS(AuditTesting[Department],B13,AuditTesting[Overall_Exception],"EXCEPTION")</f>
        <v>5</v>
      </c>
      <c r="E13" s="16" t="n">
        <f aca="false">IF(C13=0,0,D13/C13)</f>
        <v>0.333333333333333</v>
      </c>
      <c r="G13" s="9" t="s">
        <v>715</v>
      </c>
      <c r="H13" s="9" t="n">
        <f aca="false">COUNTIF(AuditTesting[SystemID],"SYS-AD")</f>
        <v>48</v>
      </c>
      <c r="I13" s="9" t="n">
        <f aca="false">COUNTIFS(AuditTesting[SystemID],"SYS-AD",AuditTesting[Overall_Exception],"EXCEPTION")</f>
        <v>10</v>
      </c>
      <c r="J13" s="16" t="n">
        <f aca="false">IF(H13=0,0,I13/H13)</f>
        <v>0.208333333333333</v>
      </c>
    </row>
    <row r="14" customFormat="false" ht="15" hidden="false" customHeight="true" outlineLevel="0" collapsed="false">
      <c r="B14" s="9" t="s">
        <v>44</v>
      </c>
      <c r="C14" s="9" t="n">
        <f aca="false">COUNTIF(AuditTesting[Department],B14)</f>
        <v>21</v>
      </c>
      <c r="D14" s="9" t="n">
        <f aca="false">COUNTIFS(AuditTesting[Department],B14,AuditTesting[Overall_Exception],"EXCEPTION")</f>
        <v>12</v>
      </c>
      <c r="E14" s="16" t="n">
        <f aca="false">IF(C14=0,0,D14/C14)</f>
        <v>0.571428571428571</v>
      </c>
      <c r="G14" s="9" t="s">
        <v>716</v>
      </c>
      <c r="H14" s="9" t="n">
        <f aca="false">COUNTIF(AuditTesting[SystemID],"SYS-CRM")</f>
        <v>4</v>
      </c>
      <c r="I14" s="9" t="n">
        <f aca="false">COUNTIFS(AuditTesting[SystemID],"SYS-CRM",AuditTesting[Overall_Exception],"EXCEPTION")</f>
        <v>0</v>
      </c>
      <c r="J14" s="16" t="n">
        <f aca="false">IF(H14=0,0,I14/H14)</f>
        <v>0</v>
      </c>
    </row>
    <row r="15" customFormat="false" ht="15" hidden="false" customHeight="true" outlineLevel="0" collapsed="false">
      <c r="B15" s="9" t="s">
        <v>39</v>
      </c>
      <c r="C15" s="9" t="n">
        <f aca="false">COUNTIF(AuditTesting[Department],B15)</f>
        <v>26</v>
      </c>
      <c r="D15" s="9" t="n">
        <f aca="false">COUNTIFS(AuditTesting[Department],B15,AuditTesting[Overall_Exception],"EXCEPTION")</f>
        <v>8</v>
      </c>
      <c r="E15" s="16" t="n">
        <f aca="false">IF(C15=0,0,D15/C15)</f>
        <v>0.307692307692308</v>
      </c>
      <c r="G15" s="9" t="s">
        <v>717</v>
      </c>
      <c r="H15" s="9" t="n">
        <f aca="false">COUNTIF(AuditTesting[SystemID],"SYS-BANK")</f>
        <v>16</v>
      </c>
      <c r="I15" s="9" t="n">
        <f aca="false">COUNTIFS(AuditTesting[SystemID],"SYS-BANK",AuditTesting[Overall_Exception],"EXCEPTION")</f>
        <v>15</v>
      </c>
      <c r="J15" s="16" t="n">
        <f aca="false">IF(H15=0,0,I15/H15)</f>
        <v>0.9375</v>
      </c>
    </row>
    <row r="16" customFormat="false" ht="15" hidden="false" customHeight="true" outlineLevel="0" collapsed="false">
      <c r="B16" s="9" t="s">
        <v>97</v>
      </c>
      <c r="C16" s="9" t="n">
        <f aca="false">COUNTIF(AuditTesting[Department],B16)</f>
        <v>8</v>
      </c>
      <c r="D16" s="9" t="n">
        <f aca="false">COUNTIFS(AuditTesting[Department],B16,AuditTesting[Overall_Exception],"EXCEPTION")</f>
        <v>6</v>
      </c>
      <c r="E16" s="16" t="n">
        <f aca="false">IF(C16=0,0,D16/C16)</f>
        <v>0.75</v>
      </c>
    </row>
    <row r="17" customFormat="false" ht="15" hidden="false" customHeight="true" outlineLevel="0" collapsed="false">
      <c r="B17" s="9" t="s">
        <v>48</v>
      </c>
      <c r="C17" s="9" t="n">
        <f aca="false">COUNTIF(AuditTesting[Department],B17)</f>
        <v>42</v>
      </c>
      <c r="D17" s="9" t="n">
        <f aca="false">COUNTIFS(AuditTesting[Department],B17,AuditTesting[Overall_Exception],"EXCEPTION")</f>
        <v>14</v>
      </c>
      <c r="E17" s="16" t="n">
        <f aca="false">IF(C17=0,0,D17/C17)</f>
        <v>0.333333333333333</v>
      </c>
    </row>
    <row r="18" customFormat="false" ht="15" hidden="false" customHeight="true" outlineLevel="0" collapsed="false">
      <c r="B18" s="9" t="s">
        <v>68</v>
      </c>
      <c r="C18" s="9" t="n">
        <f aca="false">COUNTIF(AuditTesting[Department],B18)</f>
        <v>19</v>
      </c>
      <c r="D18" s="9" t="n">
        <f aca="false">COUNTIFS(AuditTesting[Department],B18,AuditTesting[Overall_Exception],"EXCEPTION")</f>
        <v>12</v>
      </c>
      <c r="E18" s="16" t="n">
        <f aca="false">IF(C18=0,0,D18/C18)</f>
        <v>0.631578947368421</v>
      </c>
    </row>
    <row r="21" customFormat="false" ht="15" hidden="false" customHeight="true" outlineLevel="0" collapsed="false">
      <c r="B21" s="15" t="s">
        <v>718</v>
      </c>
      <c r="C21" s="15"/>
      <c r="D21" s="15"/>
      <c r="E21" s="15"/>
      <c r="F21" s="15"/>
      <c r="G21" s="15" t="s">
        <v>719</v>
      </c>
      <c r="H21" s="15"/>
      <c r="I21" s="15"/>
    </row>
    <row r="22" customFormat="false" ht="23.25" hidden="false" customHeight="true" outlineLevel="0" collapsed="false">
      <c r="B22" s="8" t="s">
        <v>567</v>
      </c>
      <c r="C22" s="8" t="s">
        <v>720</v>
      </c>
      <c r="D22" s="8" t="s">
        <v>721</v>
      </c>
      <c r="E22" s="8" t="s">
        <v>722</v>
      </c>
      <c r="G22" s="8" t="s">
        <v>723</v>
      </c>
      <c r="H22" s="8" t="s">
        <v>724</v>
      </c>
      <c r="I22" s="8" t="s">
        <v>725</v>
      </c>
    </row>
    <row r="23" customFormat="false" ht="15" hidden="false" customHeight="true" outlineLevel="0" collapsed="false">
      <c r="B23" s="9" t="s">
        <v>69</v>
      </c>
      <c r="C23" s="9" t="n">
        <f aca="false">COUNTIF(RecertLog[Reviewer],B23)</f>
        <v>7</v>
      </c>
      <c r="D23" s="9" t="n">
        <f aca="false">COUNTIFS(RecertLog[Reviewer],B23,RecertLog[Recert_Status],"OVERDUE - NOT COMPLETED")+COUNTIFS(RecertLog[Reviewer],B23,RecertLog[Recert_Status],"COMPLETED LATE")</f>
        <v>2</v>
      </c>
      <c r="E23" s="16" t="n">
        <f aca="false">IF(C23=0,0,D23/C23)</f>
        <v>0.285714285714286</v>
      </c>
      <c r="G23" s="9" t="s">
        <v>726</v>
      </c>
      <c r="H23" s="9" t="n">
        <f aca="false">COUNTIF(AuditTesting[Exception_RootCause_Category],G23)</f>
        <v>15</v>
      </c>
      <c r="I23" s="16" t="n">
        <f aca="false">IF($E$6=0,0,H23/$E$6)</f>
        <v>0.192307692307692</v>
      </c>
    </row>
    <row r="24" customFormat="false" ht="15" hidden="false" customHeight="true" outlineLevel="0" collapsed="false">
      <c r="B24" s="9" t="s">
        <v>41</v>
      </c>
      <c r="C24" s="9" t="n">
        <f aca="false">COUNTIF(RecertLog[Reviewer],B24)</f>
        <v>10</v>
      </c>
      <c r="D24" s="9" t="n">
        <f aca="false">COUNTIFS(RecertLog[Reviewer],B24,RecertLog[Recert_Status],"OVERDUE - NOT COMPLETED")+COUNTIFS(RecertLog[Reviewer],B24,RecertLog[Recert_Status],"COMPLETED LATE")</f>
        <v>2</v>
      </c>
      <c r="E24" s="16" t="n">
        <f aca="false">IF(C24=0,0,D24/C24)</f>
        <v>0.2</v>
      </c>
      <c r="G24" s="9" t="s">
        <v>727</v>
      </c>
      <c r="H24" s="9" t="n">
        <f aca="false">COUNTIF(AuditTesting[Exception_RootCause_Category],G24)</f>
        <v>45</v>
      </c>
      <c r="I24" s="16" t="n">
        <f aca="false">IF($E$6=0,0,H24/$E$6)</f>
        <v>0.576923076923077</v>
      </c>
    </row>
    <row r="25" customFormat="false" ht="15" hidden="false" customHeight="true" outlineLevel="0" collapsed="false">
      <c r="B25" s="9" t="s">
        <v>53</v>
      </c>
      <c r="C25" s="9" t="n">
        <f aca="false">COUNTIF(RecertLog[Reviewer],B25)</f>
        <v>17</v>
      </c>
      <c r="D25" s="9" t="n">
        <f aca="false">COUNTIFS(RecertLog[Reviewer],B25,RecertLog[Recert_Status],"OVERDUE - NOT COMPLETED")+COUNTIFS(RecertLog[Reviewer],B25,RecertLog[Recert_Status],"COMPLETED LATE")</f>
        <v>3</v>
      </c>
      <c r="E25" s="16" t="n">
        <f aca="false">IF(C25=0,0,D25/C25)</f>
        <v>0.176470588235294</v>
      </c>
      <c r="G25" s="9" t="s">
        <v>728</v>
      </c>
      <c r="H25" s="9" t="n">
        <f aca="false">COUNTIF(AuditTesting[Exception_RootCause_Category],G25)</f>
        <v>15</v>
      </c>
      <c r="I25" s="16" t="n">
        <f aca="false">IF($E$6=0,0,H25/$E$6)</f>
        <v>0.192307692307692</v>
      </c>
    </row>
    <row r="26" customFormat="false" ht="15" hidden="false" customHeight="true" outlineLevel="0" collapsed="false">
      <c r="B26" s="9" t="s">
        <v>45</v>
      </c>
      <c r="C26" s="9" t="n">
        <f aca="false">COUNTIF(RecertLog[Reviewer],B26)</f>
        <v>7</v>
      </c>
      <c r="D26" s="9" t="n">
        <f aca="false">COUNTIFS(RecertLog[Reviewer],B26,RecertLog[Recert_Status],"OVERDUE - NOT COMPLETED")+COUNTIFS(RecertLog[Reviewer],B26,RecertLog[Recert_Status],"COMPLETED LATE")</f>
        <v>1</v>
      </c>
      <c r="E26" s="16" t="n">
        <f aca="false">IF(C26=0,0,D26/C26)</f>
        <v>0.142857142857143</v>
      </c>
      <c r="G26" s="9" t="s">
        <v>729</v>
      </c>
      <c r="H26" s="9" t="n">
        <f aca="false">COUNTIF(AuditTesting[Exception_RootCause_Category],G26)</f>
        <v>3</v>
      </c>
      <c r="I26" s="16" t="n">
        <f aca="false">IF($E$6=0,0,H26/$E$6)</f>
        <v>0.0384615384615385</v>
      </c>
    </row>
    <row r="27" customFormat="false" ht="15" hidden="false" customHeight="true" outlineLevel="0" collapsed="false">
      <c r="B27" s="9" t="s">
        <v>104</v>
      </c>
      <c r="C27" s="9" t="n">
        <f aca="false">COUNTIF(RecertLog[Reviewer],B27)</f>
        <v>14</v>
      </c>
      <c r="D27" s="9" t="n">
        <f aca="false">COUNTIFS(RecertLog[Reviewer],B27,RecertLog[Recert_Status],"OVERDUE - NOT COMPLETED")+COUNTIFS(RecertLog[Reviewer],B27,RecertLog[Recert_Status],"COMPLETED LATE")</f>
        <v>5</v>
      </c>
      <c r="E27" s="16" t="n">
        <f aca="false">IF(C27=0,0,D27/C27)</f>
        <v>0.357142857142857</v>
      </c>
    </row>
    <row r="28" customFormat="false" ht="15" hidden="false" customHeight="true" outlineLevel="0" collapsed="false">
      <c r="B28" s="9" t="s">
        <v>57</v>
      </c>
      <c r="C28" s="9" t="n">
        <f aca="false">COUNTIF(RecertLog[Reviewer],B28)</f>
        <v>17</v>
      </c>
      <c r="D28" s="9" t="n">
        <f aca="false">COUNTIFS(RecertLog[Reviewer],B28,RecertLog[Recert_Status],"OVERDUE - NOT COMPLETED")+COUNTIFS(RecertLog[Reviewer],B28,RecertLog[Recert_Status],"COMPLETED LATE")</f>
        <v>1</v>
      </c>
      <c r="E28" s="16" t="n">
        <f aca="false">IF(C28=0,0,D28/C28)</f>
        <v>0.0588235294117647</v>
      </c>
    </row>
    <row r="29" customFormat="false" ht="15" hidden="false" customHeight="true" outlineLevel="0" collapsed="false">
      <c r="B29" s="9" t="s">
        <v>84</v>
      </c>
      <c r="C29" s="9" t="n">
        <f aca="false">COUNTIF(RecertLog[Reviewer],B29)</f>
        <v>14</v>
      </c>
      <c r="D29" s="9" t="n">
        <f aca="false">COUNTIFS(RecertLog[Reviewer],B29,RecertLog[Recert_Status],"OVERDUE - NOT COMPLETED")+COUNTIFS(RecertLog[Reviewer],B29,RecertLog[Recert_Status],"COMPLETED LATE")</f>
        <v>3</v>
      </c>
      <c r="E29" s="16" t="n">
        <f aca="false">IF(C29=0,0,D29/C29)</f>
        <v>0.214285714285714</v>
      </c>
    </row>
    <row r="30" customFormat="false" ht="15" hidden="false" customHeight="true" outlineLevel="0" collapsed="false">
      <c r="B30" s="9" t="s">
        <v>135</v>
      </c>
      <c r="C30" s="9" t="n">
        <f aca="false">COUNTIF(RecertLog[Reviewer],B30)</f>
        <v>12</v>
      </c>
      <c r="D30" s="9" t="n">
        <f aca="false">COUNTIFS(RecertLog[Reviewer],B30,RecertLog[Recert_Status],"OVERDUE - NOT COMPLETED")+COUNTIFS(RecertLog[Reviewer],B30,RecertLog[Recert_Status],"COMPLETED LATE")</f>
        <v>3</v>
      </c>
      <c r="E30" s="16" t="n">
        <f aca="false">IF(C30=0,0,D30/C30)</f>
        <v>0.25</v>
      </c>
    </row>
    <row r="31" customFormat="false" ht="15" hidden="false" customHeight="true" outlineLevel="0" collapsed="false">
      <c r="B31" s="9" t="s">
        <v>50</v>
      </c>
      <c r="C31" s="9" t="n">
        <f aca="false">COUNTIF(RecertLog[Reviewer],B31)</f>
        <v>11</v>
      </c>
      <c r="D31" s="9" t="n">
        <f aca="false">COUNTIFS(RecertLog[Reviewer],B31,RecertLog[Recert_Status],"OVERDUE - NOT COMPLETED")+COUNTIFS(RecertLog[Reviewer],B31,RecertLog[Recert_Status],"COMPLETED LATE")</f>
        <v>2</v>
      </c>
      <c r="E31" s="16" t="n">
        <f aca="false">IF(C31=0,0,D31/C31)</f>
        <v>0.181818181818182</v>
      </c>
    </row>
    <row r="32" customFormat="false" ht="15" hidden="false" customHeight="true" outlineLevel="0" collapsed="false">
      <c r="B32" s="9" t="s">
        <v>62</v>
      </c>
      <c r="C32" s="9" t="n">
        <f aca="false">COUNTIF(RecertLog[Reviewer],B32)</f>
        <v>9</v>
      </c>
      <c r="D32" s="9" t="n">
        <f aca="false">COUNTIFS(RecertLog[Reviewer],B32,RecertLog[Recert_Status],"OVERDUE - NOT COMPLETED")+COUNTIFS(RecertLog[Reviewer],B32,RecertLog[Recert_Status],"COMPLETED LATE")</f>
        <v>3</v>
      </c>
      <c r="E32" s="16" t="n">
        <f aca="false">IF(C32=0,0,D32/C32)</f>
        <v>0.333333333333333</v>
      </c>
    </row>
  </sheetData>
  <mergeCells count="13">
    <mergeCell ref="B3:K3"/>
    <mergeCell ref="B5:C5"/>
    <mergeCell ref="E5:F5"/>
    <mergeCell ref="H5:I5"/>
    <mergeCell ref="K5:L5"/>
    <mergeCell ref="B6:C6"/>
    <mergeCell ref="E6:F6"/>
    <mergeCell ref="H6:I6"/>
    <mergeCell ref="K6:L6"/>
    <mergeCell ref="B9:F9"/>
    <mergeCell ref="G9:J9"/>
    <mergeCell ref="B21:F21"/>
    <mergeCell ref="G21:I21"/>
  </mergeCells>
  <conditionalFormatting sqref="E11:E18">
    <cfRule type="colorScale" priority="2">
      <colorScale>
        <cfvo type="min" val="0"/>
        <cfvo type="max" val="0"/>
        <color rgb="FF63BE7B"/>
        <color rgb="FFF8696B"/>
      </colorScale>
    </cfRule>
  </conditionalFormatting>
  <conditionalFormatting sqref="J11:J15">
    <cfRule type="colorScale" priority="3">
      <colorScale>
        <cfvo type="min" val="0"/>
        <cfvo type="max" val="0"/>
        <color rgb="FF63BE7B"/>
        <color rgb="FFF8696B"/>
      </colorScale>
    </cfRule>
  </conditionalFormatting>
  <conditionalFormatting sqref="E23:E32">
    <cfRule type="colorScale" priority="4">
      <colorScale>
        <cfvo type="min" val="0"/>
        <cfvo type="max" val="0"/>
        <color rgb="FF63BE7B"/>
        <color rgb="FFF8696B"/>
      </colorScale>
    </cfRule>
  </conditionalFormatting>
  <conditionalFormatting sqref="I23:I26">
    <cfRule type="colorScale" priority="5">
      <colorScale>
        <cfvo type="min" val="0"/>
        <cfvo type="max" val="0"/>
        <color rgb="FFFFEB84"/>
        <color rgb="FFC00000"/>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J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10" min="2" style="1" width="11"/>
  </cols>
  <sheetData>
    <row r="2" customFormat="false" ht="19.5" hidden="false" customHeight="true" outlineLevel="0" collapsed="false">
      <c r="B2" s="17" t="s">
        <v>730</v>
      </c>
      <c r="C2" s="17"/>
      <c r="D2" s="17"/>
      <c r="E2" s="17"/>
      <c r="F2" s="17"/>
      <c r="G2" s="17"/>
      <c r="H2" s="17"/>
      <c r="I2" s="17"/>
      <c r="J2" s="17"/>
    </row>
    <row r="4" customFormat="false" ht="15" hidden="false" customHeight="true" outlineLevel="0" collapsed="false">
      <c r="B4" s="6" t="s">
        <v>731</v>
      </c>
      <c r="C4" s="18" t="s">
        <v>732</v>
      </c>
      <c r="D4" s="18"/>
      <c r="E4" s="18"/>
      <c r="F4" s="18"/>
      <c r="G4" s="18"/>
      <c r="H4" s="18"/>
      <c r="I4" s="18"/>
      <c r="J4" s="18"/>
    </row>
    <row r="5" customFormat="false" ht="15" hidden="false" customHeight="true" outlineLevel="0" collapsed="false">
      <c r="B5" s="6" t="s">
        <v>733</v>
      </c>
      <c r="C5" s="18" t="s">
        <v>734</v>
      </c>
      <c r="D5" s="18"/>
      <c r="E5" s="18"/>
      <c r="F5" s="18"/>
      <c r="G5" s="18"/>
      <c r="H5" s="18"/>
      <c r="I5" s="18"/>
      <c r="J5" s="18"/>
    </row>
    <row r="6" customFormat="false" ht="15" hidden="false" customHeight="true" outlineLevel="0" collapsed="false">
      <c r="B6" s="6" t="s">
        <v>735</v>
      </c>
      <c r="C6" s="18" t="s">
        <v>736</v>
      </c>
      <c r="D6" s="18"/>
      <c r="E6" s="18"/>
      <c r="F6" s="18"/>
      <c r="G6" s="18"/>
      <c r="H6" s="18"/>
      <c r="I6" s="18"/>
      <c r="J6" s="18"/>
    </row>
    <row r="7" customFormat="false" ht="15" hidden="false" customHeight="true" outlineLevel="0" collapsed="false">
      <c r="B7" s="6" t="s">
        <v>737</v>
      </c>
      <c r="C7" s="18" t="s">
        <v>738</v>
      </c>
      <c r="D7" s="18"/>
      <c r="E7" s="18"/>
      <c r="F7" s="18"/>
      <c r="G7" s="18"/>
      <c r="H7" s="18"/>
      <c r="I7" s="18"/>
      <c r="J7" s="18"/>
    </row>
    <row r="9" customFormat="false" ht="15" hidden="false" customHeight="true" outlineLevel="0" collapsed="false">
      <c r="B9" s="4" t="s">
        <v>739</v>
      </c>
    </row>
    <row r="10" customFormat="false" ht="69.75" hidden="false" customHeight="true" outlineLevel="0" collapsed="false">
      <c r="B10" s="5" t="s">
        <v>740</v>
      </c>
      <c r="C10" s="5"/>
      <c r="D10" s="5"/>
      <c r="E10" s="5"/>
      <c r="F10" s="5"/>
      <c r="G10" s="5"/>
      <c r="H10" s="5"/>
      <c r="I10" s="5"/>
      <c r="J10" s="5"/>
    </row>
    <row r="12" customFormat="false" ht="15" hidden="false" customHeight="true" outlineLevel="0" collapsed="false">
      <c r="B12" s="4" t="s">
        <v>741</v>
      </c>
    </row>
    <row r="13" customFormat="false" ht="69.75" hidden="false" customHeight="true" outlineLevel="0" collapsed="false">
      <c r="B13" s="5" t="s">
        <v>742</v>
      </c>
      <c r="C13" s="5"/>
      <c r="D13" s="5"/>
      <c r="E13" s="5"/>
      <c r="F13" s="5"/>
      <c r="G13" s="5"/>
      <c r="H13" s="5"/>
      <c r="I13" s="5"/>
      <c r="J13" s="5"/>
    </row>
    <row r="15" customFormat="false" ht="15" hidden="false" customHeight="true" outlineLevel="0" collapsed="false">
      <c r="B15" s="4" t="s">
        <v>743</v>
      </c>
    </row>
    <row r="16" customFormat="false" ht="60" hidden="false" customHeight="true" outlineLevel="0" collapsed="false">
      <c r="B16" s="5" t="s">
        <v>744</v>
      </c>
      <c r="C16" s="5"/>
      <c r="D16" s="5"/>
      <c r="E16" s="5"/>
      <c r="F16" s="5"/>
      <c r="G16" s="5"/>
      <c r="H16" s="5"/>
      <c r="I16" s="5"/>
      <c r="J16" s="5"/>
    </row>
    <row r="18" customFormat="false" ht="15.75" hidden="false" customHeight="true" outlineLevel="0" collapsed="false">
      <c r="B18" s="19" t="s">
        <v>745</v>
      </c>
    </row>
    <row r="20" customFormat="false" ht="15" hidden="false" customHeight="true" outlineLevel="0" collapsed="false">
      <c r="B20" s="20" t="s">
        <v>746</v>
      </c>
      <c r="C20" s="20"/>
      <c r="D20" s="20"/>
      <c r="E20" s="20"/>
      <c r="F20" s="20"/>
      <c r="G20" s="20"/>
      <c r="H20" s="20"/>
      <c r="I20" s="20"/>
      <c r="J20" s="20"/>
    </row>
    <row r="21" customFormat="false" ht="15" hidden="false" customHeight="true" outlineLevel="0" collapsed="false">
      <c r="B21" s="21" t="s">
        <v>747</v>
      </c>
    </row>
    <row r="22" customFormat="false" ht="45" hidden="false" customHeight="true" outlineLevel="0" collapsed="false">
      <c r="B22" s="5" t="s">
        <v>748</v>
      </c>
      <c r="C22" s="5"/>
      <c r="D22" s="5"/>
      <c r="E22" s="5"/>
      <c r="F22" s="5"/>
      <c r="G22" s="5"/>
      <c r="H22" s="5"/>
      <c r="I22" s="5"/>
      <c r="J22" s="5"/>
    </row>
    <row r="23" customFormat="false" ht="15" hidden="false" customHeight="true" outlineLevel="0" collapsed="false">
      <c r="B23" s="21" t="s">
        <v>749</v>
      </c>
    </row>
    <row r="24" customFormat="false" ht="45" hidden="false" customHeight="true" outlineLevel="0" collapsed="false">
      <c r="B24" s="5" t="s">
        <v>750</v>
      </c>
      <c r="C24" s="5"/>
      <c r="D24" s="5"/>
      <c r="E24" s="5"/>
      <c r="F24" s="5"/>
      <c r="G24" s="5"/>
      <c r="H24" s="5"/>
      <c r="I24" s="5"/>
      <c r="J24" s="5"/>
    </row>
    <row r="25" customFormat="false" ht="15" hidden="false" customHeight="true" outlineLevel="0" collapsed="false">
      <c r="B25" s="21" t="s">
        <v>751</v>
      </c>
    </row>
    <row r="26" customFormat="false" ht="45" hidden="false" customHeight="true" outlineLevel="0" collapsed="false">
      <c r="B26" s="5" t="s">
        <v>752</v>
      </c>
      <c r="C26" s="5"/>
      <c r="D26" s="5"/>
      <c r="E26" s="5"/>
      <c r="F26" s="5"/>
      <c r="G26" s="5"/>
      <c r="H26" s="5"/>
      <c r="I26" s="5"/>
      <c r="J26" s="5"/>
    </row>
    <row r="27" customFormat="false" ht="15" hidden="false" customHeight="true" outlineLevel="0" collapsed="false">
      <c r="B27" s="21" t="s">
        <v>753</v>
      </c>
    </row>
    <row r="28" customFormat="false" ht="45" hidden="false" customHeight="true" outlineLevel="0" collapsed="false">
      <c r="B28" s="5" t="s">
        <v>754</v>
      </c>
      <c r="C28" s="5"/>
      <c r="D28" s="5"/>
      <c r="E28" s="5"/>
      <c r="F28" s="5"/>
      <c r="G28" s="5"/>
      <c r="H28" s="5"/>
      <c r="I28" s="5"/>
      <c r="J28" s="5"/>
    </row>
    <row r="29" customFormat="false" ht="15" hidden="false" customHeight="true" outlineLevel="0" collapsed="false">
      <c r="B29" s="21" t="s">
        <v>755</v>
      </c>
    </row>
    <row r="30" customFormat="false" ht="45" hidden="false" customHeight="true" outlineLevel="0" collapsed="false">
      <c r="B30" s="5" t="s">
        <v>756</v>
      </c>
      <c r="C30" s="5"/>
      <c r="D30" s="5"/>
      <c r="E30" s="5"/>
      <c r="F30" s="5"/>
      <c r="G30" s="5"/>
      <c r="H30" s="5"/>
      <c r="I30" s="5"/>
      <c r="J30" s="5"/>
    </row>
    <row r="32" customFormat="false" ht="15" hidden="false" customHeight="true" outlineLevel="0" collapsed="false">
      <c r="B32" s="20" t="s">
        <v>757</v>
      </c>
      <c r="C32" s="20"/>
      <c r="D32" s="20"/>
      <c r="E32" s="20"/>
      <c r="F32" s="20"/>
      <c r="G32" s="20"/>
      <c r="H32" s="20"/>
      <c r="I32" s="20"/>
      <c r="J32" s="20"/>
    </row>
    <row r="33" customFormat="false" ht="15" hidden="false" customHeight="true" outlineLevel="0" collapsed="false">
      <c r="B33" s="21" t="s">
        <v>747</v>
      </c>
    </row>
    <row r="34" customFormat="false" ht="45" hidden="false" customHeight="true" outlineLevel="0" collapsed="false">
      <c r="B34" s="5" t="s">
        <v>758</v>
      </c>
      <c r="C34" s="5"/>
      <c r="D34" s="5"/>
      <c r="E34" s="5"/>
      <c r="F34" s="5"/>
      <c r="G34" s="5"/>
      <c r="H34" s="5"/>
      <c r="I34" s="5"/>
      <c r="J34" s="5"/>
    </row>
    <row r="35" customFormat="false" ht="15" hidden="false" customHeight="true" outlineLevel="0" collapsed="false">
      <c r="B35" s="21" t="s">
        <v>749</v>
      </c>
    </row>
    <row r="36" customFormat="false" ht="45" hidden="false" customHeight="true" outlineLevel="0" collapsed="false">
      <c r="B36" s="5" t="s">
        <v>759</v>
      </c>
      <c r="C36" s="5"/>
      <c r="D36" s="5"/>
      <c r="E36" s="5"/>
      <c r="F36" s="5"/>
      <c r="G36" s="5"/>
      <c r="H36" s="5"/>
      <c r="I36" s="5"/>
      <c r="J36" s="5"/>
    </row>
    <row r="37" customFormat="false" ht="15" hidden="false" customHeight="true" outlineLevel="0" collapsed="false">
      <c r="B37" s="21" t="s">
        <v>751</v>
      </c>
    </row>
    <row r="38" customFormat="false" ht="45" hidden="false" customHeight="true" outlineLevel="0" collapsed="false">
      <c r="B38" s="5" t="s">
        <v>760</v>
      </c>
      <c r="C38" s="5"/>
      <c r="D38" s="5"/>
      <c r="E38" s="5"/>
      <c r="F38" s="5"/>
      <c r="G38" s="5"/>
      <c r="H38" s="5"/>
      <c r="I38" s="5"/>
      <c r="J38" s="5"/>
    </row>
    <row r="39" customFormat="false" ht="15" hidden="false" customHeight="true" outlineLevel="0" collapsed="false">
      <c r="B39" s="21" t="s">
        <v>753</v>
      </c>
    </row>
    <row r="40" customFormat="false" ht="45" hidden="false" customHeight="true" outlineLevel="0" collapsed="false">
      <c r="B40" s="5" t="s">
        <v>761</v>
      </c>
      <c r="C40" s="5"/>
      <c r="D40" s="5"/>
      <c r="E40" s="5"/>
      <c r="F40" s="5"/>
      <c r="G40" s="5"/>
      <c r="H40" s="5"/>
      <c r="I40" s="5"/>
      <c r="J40" s="5"/>
    </row>
    <row r="41" customFormat="false" ht="15" hidden="false" customHeight="true" outlineLevel="0" collapsed="false">
      <c r="B41" s="21" t="s">
        <v>755</v>
      </c>
    </row>
    <row r="42" customFormat="false" ht="45" hidden="false" customHeight="true" outlineLevel="0" collapsed="false">
      <c r="B42" s="5" t="s">
        <v>762</v>
      </c>
      <c r="C42" s="5"/>
      <c r="D42" s="5"/>
      <c r="E42" s="5"/>
      <c r="F42" s="5"/>
      <c r="G42" s="5"/>
      <c r="H42" s="5"/>
      <c r="I42" s="5"/>
      <c r="J42" s="5"/>
    </row>
    <row r="44" customFormat="false" ht="15" hidden="false" customHeight="true" outlineLevel="0" collapsed="false">
      <c r="B44" s="20" t="s">
        <v>763</v>
      </c>
      <c r="C44" s="20"/>
      <c r="D44" s="20"/>
      <c r="E44" s="20"/>
      <c r="F44" s="20"/>
      <c r="G44" s="20"/>
      <c r="H44" s="20"/>
      <c r="I44" s="20"/>
      <c r="J44" s="20"/>
    </row>
    <row r="45" customFormat="false" ht="15" hidden="false" customHeight="true" outlineLevel="0" collapsed="false">
      <c r="B45" s="21" t="s">
        <v>747</v>
      </c>
    </row>
    <row r="46" customFormat="false" ht="45" hidden="false" customHeight="true" outlineLevel="0" collapsed="false">
      <c r="B46" s="5" t="s">
        <v>764</v>
      </c>
      <c r="C46" s="5"/>
      <c r="D46" s="5"/>
      <c r="E46" s="5"/>
      <c r="F46" s="5"/>
      <c r="G46" s="5"/>
      <c r="H46" s="5"/>
      <c r="I46" s="5"/>
      <c r="J46" s="5"/>
    </row>
    <row r="47" customFormat="false" ht="15" hidden="false" customHeight="true" outlineLevel="0" collapsed="false">
      <c r="B47" s="21" t="s">
        <v>749</v>
      </c>
    </row>
    <row r="48" customFormat="false" ht="45" hidden="false" customHeight="true" outlineLevel="0" collapsed="false">
      <c r="B48" s="5" t="s">
        <v>765</v>
      </c>
      <c r="C48" s="5"/>
      <c r="D48" s="5"/>
      <c r="E48" s="5"/>
      <c r="F48" s="5"/>
      <c r="G48" s="5"/>
      <c r="H48" s="5"/>
      <c r="I48" s="5"/>
      <c r="J48" s="5"/>
    </row>
    <row r="49" customFormat="false" ht="15" hidden="false" customHeight="true" outlineLevel="0" collapsed="false">
      <c r="B49" s="21" t="s">
        <v>751</v>
      </c>
    </row>
    <row r="50" customFormat="false" ht="45" hidden="false" customHeight="true" outlineLevel="0" collapsed="false">
      <c r="B50" s="5" t="s">
        <v>766</v>
      </c>
      <c r="C50" s="5"/>
      <c r="D50" s="5"/>
      <c r="E50" s="5"/>
      <c r="F50" s="5"/>
      <c r="G50" s="5"/>
      <c r="H50" s="5"/>
      <c r="I50" s="5"/>
      <c r="J50" s="5"/>
    </row>
    <row r="51" customFormat="false" ht="15" hidden="false" customHeight="true" outlineLevel="0" collapsed="false">
      <c r="B51" s="21" t="s">
        <v>753</v>
      </c>
    </row>
    <row r="52" customFormat="false" ht="45" hidden="false" customHeight="true" outlineLevel="0" collapsed="false">
      <c r="B52" s="5" t="s">
        <v>767</v>
      </c>
      <c r="C52" s="5"/>
      <c r="D52" s="5"/>
      <c r="E52" s="5"/>
      <c r="F52" s="5"/>
      <c r="G52" s="5"/>
      <c r="H52" s="5"/>
      <c r="I52" s="5"/>
      <c r="J52" s="5"/>
    </row>
    <row r="53" customFormat="false" ht="15" hidden="false" customHeight="true" outlineLevel="0" collapsed="false">
      <c r="B53" s="21" t="s">
        <v>755</v>
      </c>
    </row>
    <row r="54" customFormat="false" ht="45" hidden="false" customHeight="true" outlineLevel="0" collapsed="false">
      <c r="B54" s="5" t="s">
        <v>768</v>
      </c>
      <c r="C54" s="5"/>
      <c r="D54" s="5"/>
      <c r="E54" s="5"/>
      <c r="F54" s="5"/>
      <c r="G54" s="5"/>
      <c r="H54" s="5"/>
      <c r="I54" s="5"/>
      <c r="J54" s="5"/>
    </row>
    <row r="56" customFormat="false" ht="15" hidden="false" customHeight="true" outlineLevel="0" collapsed="false">
      <c r="B56" s="20" t="s">
        <v>769</v>
      </c>
      <c r="C56" s="20"/>
      <c r="D56" s="20"/>
      <c r="E56" s="20"/>
      <c r="F56" s="20"/>
      <c r="G56" s="20"/>
      <c r="H56" s="20"/>
      <c r="I56" s="20"/>
      <c r="J56" s="20"/>
    </row>
    <row r="57" customFormat="false" ht="15" hidden="false" customHeight="true" outlineLevel="0" collapsed="false">
      <c r="B57" s="21" t="s">
        <v>747</v>
      </c>
    </row>
    <row r="58" customFormat="false" ht="45" hidden="false" customHeight="true" outlineLevel="0" collapsed="false">
      <c r="B58" s="5" t="s">
        <v>770</v>
      </c>
      <c r="C58" s="5"/>
      <c r="D58" s="5"/>
      <c r="E58" s="5"/>
      <c r="F58" s="5"/>
      <c r="G58" s="5"/>
      <c r="H58" s="5"/>
      <c r="I58" s="5"/>
      <c r="J58" s="5"/>
    </row>
    <row r="59" customFormat="false" ht="15" hidden="false" customHeight="true" outlineLevel="0" collapsed="false">
      <c r="B59" s="21" t="s">
        <v>749</v>
      </c>
    </row>
    <row r="60" customFormat="false" ht="45" hidden="false" customHeight="true" outlineLevel="0" collapsed="false">
      <c r="B60" s="5" t="s">
        <v>771</v>
      </c>
      <c r="C60" s="5"/>
      <c r="D60" s="5"/>
      <c r="E60" s="5"/>
      <c r="F60" s="5"/>
      <c r="G60" s="5"/>
      <c r="H60" s="5"/>
      <c r="I60" s="5"/>
      <c r="J60" s="5"/>
    </row>
    <row r="61" customFormat="false" ht="15" hidden="false" customHeight="true" outlineLevel="0" collapsed="false">
      <c r="B61" s="21" t="s">
        <v>751</v>
      </c>
    </row>
    <row r="62" customFormat="false" ht="45" hidden="false" customHeight="true" outlineLevel="0" collapsed="false">
      <c r="B62" s="5" t="s">
        <v>772</v>
      </c>
      <c r="C62" s="5"/>
      <c r="D62" s="5"/>
      <c r="E62" s="5"/>
      <c r="F62" s="5"/>
      <c r="G62" s="5"/>
      <c r="H62" s="5"/>
      <c r="I62" s="5"/>
      <c r="J62" s="5"/>
    </row>
    <row r="63" customFormat="false" ht="15" hidden="false" customHeight="true" outlineLevel="0" collapsed="false">
      <c r="B63" s="21" t="s">
        <v>753</v>
      </c>
    </row>
    <row r="64" customFormat="false" ht="45" hidden="false" customHeight="true" outlineLevel="0" collapsed="false">
      <c r="B64" s="5" t="s">
        <v>773</v>
      </c>
      <c r="C64" s="5"/>
      <c r="D64" s="5"/>
      <c r="E64" s="5"/>
      <c r="F64" s="5"/>
      <c r="G64" s="5"/>
      <c r="H64" s="5"/>
      <c r="I64" s="5"/>
      <c r="J64" s="5"/>
    </row>
    <row r="65" customFormat="false" ht="15" hidden="false" customHeight="true" outlineLevel="0" collapsed="false">
      <c r="B65" s="21" t="s">
        <v>755</v>
      </c>
    </row>
    <row r="66" customFormat="false" ht="45" hidden="false" customHeight="true" outlineLevel="0" collapsed="false">
      <c r="B66" s="5" t="s">
        <v>774</v>
      </c>
      <c r="C66" s="5"/>
      <c r="D66" s="5"/>
      <c r="E66" s="5"/>
      <c r="F66" s="5"/>
      <c r="G66" s="5"/>
      <c r="H66" s="5"/>
      <c r="I66" s="5"/>
      <c r="J66" s="5"/>
    </row>
    <row r="68" customFormat="false" ht="15" hidden="false" customHeight="true" outlineLevel="0" collapsed="false">
      <c r="B68" s="4" t="s">
        <v>775</v>
      </c>
    </row>
    <row r="69" customFormat="false" ht="69.75" hidden="false" customHeight="true" outlineLevel="0" collapsed="false">
      <c r="B69" s="5" t="s">
        <v>776</v>
      </c>
      <c r="C69" s="5"/>
      <c r="D69" s="5"/>
      <c r="E69" s="5"/>
      <c r="F69" s="5"/>
      <c r="G69" s="5"/>
      <c r="H69" s="5"/>
      <c r="I69" s="5"/>
      <c r="J69" s="5"/>
    </row>
  </sheetData>
  <mergeCells count="33">
    <mergeCell ref="B2:J2"/>
    <mergeCell ref="C4:J4"/>
    <mergeCell ref="C5:J5"/>
    <mergeCell ref="C6:J6"/>
    <mergeCell ref="C7:J7"/>
    <mergeCell ref="B10:J10"/>
    <mergeCell ref="B13:J13"/>
    <mergeCell ref="B16:J16"/>
    <mergeCell ref="B20:J20"/>
    <mergeCell ref="B22:J22"/>
    <mergeCell ref="B24:J24"/>
    <mergeCell ref="B26:J26"/>
    <mergeCell ref="B28:J28"/>
    <mergeCell ref="B30:J30"/>
    <mergeCell ref="B32:J32"/>
    <mergeCell ref="B34:J34"/>
    <mergeCell ref="B36:J36"/>
    <mergeCell ref="B38:J38"/>
    <mergeCell ref="B40:J40"/>
    <mergeCell ref="B42:J42"/>
    <mergeCell ref="B44:J44"/>
    <mergeCell ref="B46:J46"/>
    <mergeCell ref="B48:J48"/>
    <mergeCell ref="B50:J50"/>
    <mergeCell ref="B52:J52"/>
    <mergeCell ref="B54:J54"/>
    <mergeCell ref="B56:J56"/>
    <mergeCell ref="B58:J58"/>
    <mergeCell ref="B60:J60"/>
    <mergeCell ref="B62:J62"/>
    <mergeCell ref="B64:J64"/>
    <mergeCell ref="B66:J66"/>
    <mergeCell ref="B69:J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2026-09-18T08:26:30Z</dcterms:created>
  <dc:creator>openpyxl</dc:creator>
  <dc:description/>
  <dc:language>en-US</dc:language>
  <cp:lastModifiedBy/>
  <dcterms:modified xsi:type="dcterms:W3CDTF">2026-09-18T08:26:36Z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